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Future Job Characteristic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<sst xmlns="http://schemas.openxmlformats.org/spreadsheetml/2006/main" count="23" uniqueCount="23">
  <si>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Money</t>
  </si>
  <si>
    <t xml:space="preserve">Interesting</t>
  </si>
  <si>
    <t xml:space="preserve">Goodness</t>
  </si>
  <si>
    <t xml:space="preserve">Leisure</t>
  </si>
  <si>
    <t xml:space="preserve">Prestige</t>
  </si>
  <si>
    <t xml:space="preserve">Creative</t>
  </si>
  <si>
    <t xml:space="preserve">Prestige-hat-C</t>
  </si>
  <si>
    <t xml:space="preserve">Error C</t>
  </si>
  <si>
    <t xml:space="preserve">SE-C</t>
  </si>
  <si>
    <t xml:space="preserve">Prestige-hat-A</t>
  </si>
  <si>
    <t xml:space="preserve">Error A</t>
  </si>
  <si>
    <t xml:space="preserve">SE-A</t>
  </si>
  <si>
    <t xml:space="preserve">Model C - Prestige-hat-i = 1.21</t>
  </si>
  <si>
    <t xml:space="preserve">SSE-C =</t>
  </si>
  <si>
    <t xml:space="preserve">PC= 1</t>
  </si>
  <si>
    <t xml:space="preserve">Model A - Prestige-hat-I = .537 + .371*Money</t>
  </si>
  <si>
    <t xml:space="preserve">SSE-A =</t>
  </si>
  <si>
    <t xml:space="preserve">PA= 2</t>
  </si>
  <si>
    <t xml:space="preserve">N =81</t>
  </si>
  <si>
    <t xml:space="preserve">PRE =</t>
  </si>
  <si>
    <t xml:space="preserve">F Numerator =</t>
  </si>
  <si>
    <t xml:space="preserve">F Denominator =</t>
  </si>
  <si>
    <t xml:space="preserve">F=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</si>
</sst>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3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90" activeCellId="0" sqref="F90"/>
    </sheetView>
  </sheetViews>
  <sheetFormatPr defaultRowHeight="14.5"/>
  <cols>
    <col collapsed="false" hidden="false" max="256" min="1" style="0" width="11.734375"/>
    <col collapsed="false" hidden="false" max="1025" min="257" style="0" width="9.0625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</row>
    <row r="2" customFormat="false" ht="14.5" hidden="false" customHeight="false" outlineLevel="0" collapsed="false">
      <c r="A2" s="0" t="n">
        <v>2</v>
      </c>
      <c r="B2" s="0" t="n">
        <v>3</v>
      </c>
      <c r="C2" s="0" t="n">
        <v>2</v>
      </c>
      <c r="D2" s="0" t="n">
        <v>1</v>
      </c>
      <c r="E2" s="0" t="n">
        <v>1</v>
      </c>
      <c r="F2" s="0" t="n">
        <v>3</v>
      </c>
      <c r="H2" s="0" t="n">
        <v>1.20988</v>
      </c>
      <c r="I2" s="0" t="n">
        <f aca="false">E2-H2</f>
        <v>-0.20988</v>
      </c>
      <c r="J2" s="0" t="n">
        <f aca="false">I2*I2</f>
        <v>0.0440496144</v>
      </c>
      <c r="K2" s="0" t="n">
        <f aca="false">0.537+0.371*(A2)</f>
        <v>1.279</v>
      </c>
      <c r="L2" s="0" t="n">
        <f aca="false">E2-K2</f>
        <v>-0.279</v>
      </c>
      <c r="M2" s="0" t="n">
        <f aca="false">L2*L2</f>
        <v>0.077841</v>
      </c>
    </row>
    <row r="3" customFormat="false" ht="14.5" hidden="false" customHeight="false" outlineLevel="0" collapsed="false">
      <c r="A3" s="0" t="n">
        <v>3</v>
      </c>
      <c r="B3" s="0" t="n">
        <v>3</v>
      </c>
      <c r="C3" s="0" t="n">
        <v>3</v>
      </c>
      <c r="D3" s="0" t="n">
        <v>0</v>
      </c>
      <c r="E3" s="0" t="n">
        <v>0</v>
      </c>
      <c r="F3" s="0" t="n">
        <v>2</v>
      </c>
      <c r="H3" s="0" t="n">
        <v>1.20988</v>
      </c>
      <c r="I3" s="0" t="n">
        <f aca="false">E3-H3</f>
        <v>-1.20988</v>
      </c>
      <c r="J3" s="0" t="n">
        <f aca="false">I3*I3</f>
        <v>1.4638096144</v>
      </c>
      <c r="K3" s="0" t="n">
        <f aca="false">0.537+0.371*(A3)</f>
        <v>1.65</v>
      </c>
      <c r="L3" s="0" t="n">
        <f aca="false">E3-K3</f>
        <v>-1.65</v>
      </c>
      <c r="M3" s="0" t="n">
        <f aca="false">L3*L3</f>
        <v>2.7225</v>
      </c>
    </row>
    <row r="4" customFormat="false" ht="14.5" hidden="false" customHeight="false" outlineLevel="0" collapsed="false">
      <c r="A4" s="0" t="n">
        <v>1</v>
      </c>
      <c r="B4" s="0" t="n">
        <v>3</v>
      </c>
      <c r="C4" s="0" t="n">
        <v>3</v>
      </c>
      <c r="D4" s="0" t="n">
        <v>0</v>
      </c>
      <c r="E4" s="0" t="n">
        <v>2</v>
      </c>
      <c r="F4" s="0" t="n">
        <v>3</v>
      </c>
      <c r="H4" s="0" t="n">
        <v>1.20988</v>
      </c>
      <c r="I4" s="0" t="n">
        <f aca="false">E4-H4</f>
        <v>0.79012</v>
      </c>
      <c r="J4" s="0" t="n">
        <f aca="false">I4*I4</f>
        <v>0.6242896144</v>
      </c>
      <c r="K4" s="0" t="n">
        <f aca="false">0.537+0.371*(A4)</f>
        <v>0.908</v>
      </c>
      <c r="L4" s="0" t="n">
        <f aca="false">E4-K4</f>
        <v>1.092</v>
      </c>
      <c r="M4" s="0" t="n">
        <f aca="false">L4*L4</f>
        <v>1.192464</v>
      </c>
    </row>
    <row r="5" customFormat="false" ht="14.5" hidden="false" customHeight="false" outlineLevel="0" collapsed="false">
      <c r="A5" s="0" t="n">
        <v>1</v>
      </c>
      <c r="B5" s="0" t="n">
        <v>2</v>
      </c>
      <c r="C5" s="0" t="n">
        <v>1</v>
      </c>
      <c r="D5" s="0" t="n">
        <v>0</v>
      </c>
      <c r="E5" s="0" t="n">
        <v>1</v>
      </c>
      <c r="F5" s="0" t="n">
        <v>2</v>
      </c>
      <c r="H5" s="0" t="n">
        <v>1.20988</v>
      </c>
      <c r="I5" s="0" t="n">
        <f aca="false">E5-H5</f>
        <v>-0.20988</v>
      </c>
      <c r="J5" s="0" t="n">
        <f aca="false">I5*I5</f>
        <v>0.0440496144</v>
      </c>
      <c r="K5" s="0" t="n">
        <f aca="false">0.537+0.371*(A5)</f>
        <v>0.908</v>
      </c>
      <c r="L5" s="0" t="n">
        <f aca="false">E5-K5</f>
        <v>0.092</v>
      </c>
      <c r="M5" s="0" t="n">
        <f aca="false">L5*L5</f>
        <v>0.00846399999999999</v>
      </c>
    </row>
    <row r="6" customFormat="false" ht="14.5" hidden="false" customHeight="false" outlineLevel="0" collapsed="false">
      <c r="A6" s="0" t="n">
        <v>2</v>
      </c>
      <c r="B6" s="0" t="n">
        <v>2</v>
      </c>
      <c r="C6" s="0" t="n">
        <v>2</v>
      </c>
      <c r="D6" s="0" t="n">
        <v>2</v>
      </c>
      <c r="E6" s="0" t="n">
        <v>3</v>
      </c>
      <c r="F6" s="0" t="n">
        <v>1</v>
      </c>
      <c r="H6" s="0" t="n">
        <v>1.20988</v>
      </c>
      <c r="I6" s="0" t="n">
        <f aca="false">E6-H6</f>
        <v>1.79012</v>
      </c>
      <c r="J6" s="0" t="n">
        <f aca="false">I6*I6</f>
        <v>3.2045296144</v>
      </c>
      <c r="K6" s="0" t="n">
        <f aca="false">0.537+0.371*(A6)</f>
        <v>1.279</v>
      </c>
      <c r="L6" s="0" t="n">
        <f aca="false">E6-K6</f>
        <v>1.721</v>
      </c>
      <c r="M6" s="0" t="n">
        <f aca="false">L6*L6</f>
        <v>2.961841</v>
      </c>
    </row>
    <row r="7" customFormat="false" ht="14.5" hidden="false" customHeight="false" outlineLevel="0" collapsed="false">
      <c r="A7" s="0" t="n">
        <v>2</v>
      </c>
      <c r="B7" s="0" t="n">
        <v>3</v>
      </c>
      <c r="C7" s="0" t="n">
        <v>2</v>
      </c>
      <c r="D7" s="0" t="n">
        <v>1</v>
      </c>
      <c r="E7" s="0" t="n">
        <v>1</v>
      </c>
      <c r="F7" s="0" t="n">
        <v>2</v>
      </c>
      <c r="H7" s="0" t="n">
        <v>1.20988</v>
      </c>
      <c r="I7" s="0" t="n">
        <f aca="false">E7-H7</f>
        <v>-0.20988</v>
      </c>
      <c r="J7" s="0" t="n">
        <f aca="false">I7*I7</f>
        <v>0.0440496144</v>
      </c>
      <c r="K7" s="0" t="n">
        <f aca="false">0.537+0.371*(A7)</f>
        <v>1.279</v>
      </c>
      <c r="L7" s="0" t="n">
        <f aca="false">E7-K7</f>
        <v>-0.279</v>
      </c>
      <c r="M7" s="0" t="n">
        <f aca="false">L7*L7</f>
        <v>0.077841</v>
      </c>
    </row>
    <row r="8" customFormat="false" ht="14.5" hidden="false" customHeight="false" outlineLevel="0" collapsed="false">
      <c r="A8" s="0" t="n">
        <v>2</v>
      </c>
      <c r="B8" s="0" t="n">
        <v>3</v>
      </c>
      <c r="C8" s="0" t="n">
        <v>2</v>
      </c>
      <c r="D8" s="0" t="n">
        <v>2</v>
      </c>
      <c r="E8" s="0" t="n">
        <v>1</v>
      </c>
      <c r="F8" s="0" t="n">
        <v>2</v>
      </c>
      <c r="H8" s="0" t="n">
        <v>1.20988</v>
      </c>
      <c r="I8" s="0" t="n">
        <f aca="false">E8-H8</f>
        <v>-0.20988</v>
      </c>
      <c r="J8" s="0" t="n">
        <f aca="false">I8*I8</f>
        <v>0.0440496144</v>
      </c>
      <c r="K8" s="0" t="n">
        <f aca="false">0.537+0.371*(A8)</f>
        <v>1.279</v>
      </c>
      <c r="L8" s="0" t="n">
        <f aca="false">E8-K8</f>
        <v>-0.279</v>
      </c>
      <c r="M8" s="0" t="n">
        <f aca="false">L8*L8</f>
        <v>0.077841</v>
      </c>
    </row>
    <row r="9" customFormat="false" ht="14.5" hidden="false" customHeight="false" outlineLevel="0" collapsed="false">
      <c r="A9" s="0" t="n">
        <v>2</v>
      </c>
      <c r="B9" s="0" t="n">
        <v>3</v>
      </c>
      <c r="C9" s="0" t="n">
        <v>2</v>
      </c>
      <c r="D9" s="0" t="n">
        <v>2</v>
      </c>
      <c r="E9" s="0" t="n">
        <v>2</v>
      </c>
      <c r="F9" s="0" t="n">
        <v>2</v>
      </c>
      <c r="H9" s="0" t="n">
        <v>1.20988</v>
      </c>
      <c r="I9" s="0" t="n">
        <f aca="false">E9-H9</f>
        <v>0.79012</v>
      </c>
      <c r="J9" s="0" t="n">
        <f aca="false">I9*I9</f>
        <v>0.6242896144</v>
      </c>
      <c r="K9" s="0" t="n">
        <f aca="false">0.537+0.371*(A9)</f>
        <v>1.279</v>
      </c>
      <c r="L9" s="0" t="n">
        <f aca="false">E9-K9</f>
        <v>0.721</v>
      </c>
      <c r="M9" s="0" t="n">
        <f aca="false">L9*L9</f>
        <v>0.519841</v>
      </c>
    </row>
    <row r="10" customFormat="false" ht="14.5" hidden="false" customHeight="false" outlineLevel="0" collapsed="false">
      <c r="A10" s="0" t="n">
        <v>3</v>
      </c>
      <c r="B10" s="0" t="n">
        <v>3</v>
      </c>
      <c r="C10" s="0" t="n">
        <v>3</v>
      </c>
      <c r="D10" s="0" t="n">
        <v>3</v>
      </c>
      <c r="E10" s="0" t="n">
        <v>2</v>
      </c>
      <c r="F10" s="0" t="n">
        <v>2</v>
      </c>
      <c r="H10" s="0" t="n">
        <v>1.20988</v>
      </c>
      <c r="I10" s="0" t="n">
        <f aca="false">E10-H10</f>
        <v>0.79012</v>
      </c>
      <c r="J10" s="0" t="n">
        <f aca="false">I10*I10</f>
        <v>0.6242896144</v>
      </c>
      <c r="K10" s="0" t="n">
        <f aca="false">0.537+0.371*(A10)</f>
        <v>1.65</v>
      </c>
      <c r="L10" s="0" t="n">
        <f aca="false">E10-K10</f>
        <v>0.35</v>
      </c>
      <c r="M10" s="0" t="n">
        <f aca="false">L10*L10</f>
        <v>0.1225</v>
      </c>
    </row>
    <row r="11" customFormat="false" ht="14.5" hidden="false" customHeight="false" outlineLevel="0" collapsed="false">
      <c r="A11" s="0" t="n">
        <v>2</v>
      </c>
      <c r="B11" s="0" t="n">
        <v>2</v>
      </c>
      <c r="C11" s="0" t="n">
        <v>3</v>
      </c>
      <c r="D11" s="0" t="n">
        <v>0</v>
      </c>
      <c r="E11" s="0" t="n">
        <v>1</v>
      </c>
      <c r="F11" s="0" t="n">
        <v>1</v>
      </c>
      <c r="H11" s="0" t="n">
        <v>1.20988</v>
      </c>
      <c r="I11" s="0" t="n">
        <f aca="false">E11-H11</f>
        <v>-0.20988</v>
      </c>
      <c r="J11" s="0" t="n">
        <f aca="false">I11*I11</f>
        <v>0.0440496144</v>
      </c>
      <c r="K11" s="0" t="n">
        <f aca="false">0.537+0.371*(A11)</f>
        <v>1.279</v>
      </c>
      <c r="L11" s="0" t="n">
        <f aca="false">E11-K11</f>
        <v>-0.279</v>
      </c>
      <c r="M11" s="0" t="n">
        <f aca="false">L11*L11</f>
        <v>0.077841</v>
      </c>
    </row>
    <row r="12" customFormat="false" ht="14.5" hidden="false" customHeight="false" outlineLevel="0" collapsed="false">
      <c r="A12" s="0" t="n">
        <v>3</v>
      </c>
      <c r="B12" s="0" t="n">
        <v>3</v>
      </c>
      <c r="C12" s="0" t="n">
        <v>3</v>
      </c>
      <c r="D12" s="0" t="n">
        <v>2</v>
      </c>
      <c r="E12" s="0" t="n">
        <v>2</v>
      </c>
      <c r="F12" s="0" t="n">
        <v>1</v>
      </c>
      <c r="H12" s="0" t="n">
        <v>1.20988</v>
      </c>
      <c r="I12" s="0" t="n">
        <f aca="false">E12-H12</f>
        <v>0.79012</v>
      </c>
      <c r="J12" s="0" t="n">
        <f aca="false">I12*I12</f>
        <v>0.6242896144</v>
      </c>
      <c r="K12" s="0" t="n">
        <f aca="false">0.537+0.371*(A12)</f>
        <v>1.65</v>
      </c>
      <c r="L12" s="0" t="n">
        <f aca="false">E12-K12</f>
        <v>0.35</v>
      </c>
      <c r="M12" s="0" t="n">
        <f aca="false">L12*L12</f>
        <v>0.1225</v>
      </c>
    </row>
    <row r="13" customFormat="false" ht="14.5" hidden="false" customHeight="false" outlineLevel="0" collapsed="false">
      <c r="A13" s="0" t="n">
        <v>2</v>
      </c>
      <c r="B13" s="0" t="n">
        <v>3</v>
      </c>
      <c r="C13" s="0" t="n">
        <v>2</v>
      </c>
      <c r="D13" s="0" t="n">
        <v>1</v>
      </c>
      <c r="E13" s="0" t="n">
        <v>2</v>
      </c>
      <c r="F13" s="0" t="n">
        <v>1</v>
      </c>
      <c r="H13" s="0" t="n">
        <v>1.20988</v>
      </c>
      <c r="I13" s="0" t="n">
        <f aca="false">E13-H13</f>
        <v>0.79012</v>
      </c>
      <c r="J13" s="0" t="n">
        <f aca="false">I13*I13</f>
        <v>0.6242896144</v>
      </c>
      <c r="K13" s="0" t="n">
        <f aca="false">0.537+0.371*(A13)</f>
        <v>1.279</v>
      </c>
      <c r="L13" s="0" t="n">
        <f aca="false">E13-K13</f>
        <v>0.721</v>
      </c>
      <c r="M13" s="0" t="n">
        <f aca="false">L13*L13</f>
        <v>0.519841</v>
      </c>
    </row>
    <row r="14" customFormat="false" ht="14.5" hidden="false" customHeight="false" outlineLevel="0" collapsed="false">
      <c r="A14" s="0" t="n">
        <v>1</v>
      </c>
      <c r="B14" s="0" t="n">
        <v>3</v>
      </c>
      <c r="C14" s="0" t="n">
        <v>1</v>
      </c>
      <c r="D14" s="0" t="n">
        <v>1</v>
      </c>
      <c r="E14" s="0" t="n">
        <v>2</v>
      </c>
      <c r="F14" s="0" t="n">
        <v>2</v>
      </c>
      <c r="H14" s="0" t="n">
        <v>1.20988</v>
      </c>
      <c r="I14" s="0" t="n">
        <f aca="false">E14-H14</f>
        <v>0.79012</v>
      </c>
      <c r="J14" s="0" t="n">
        <f aca="false">I14*I14</f>
        <v>0.6242896144</v>
      </c>
      <c r="K14" s="0" t="n">
        <f aca="false">0.537+0.371*(A14)</f>
        <v>0.908</v>
      </c>
      <c r="L14" s="0" t="n">
        <f aca="false">E14-K14</f>
        <v>1.092</v>
      </c>
      <c r="M14" s="0" t="n">
        <f aca="false">L14*L14</f>
        <v>1.192464</v>
      </c>
    </row>
    <row r="15" customFormat="false" ht="14.5" hidden="false" customHeight="false" outlineLevel="0" collapsed="false">
      <c r="A15" s="0" t="n">
        <v>3</v>
      </c>
      <c r="B15" s="0" t="n">
        <v>3</v>
      </c>
      <c r="C15" s="0" t="n">
        <v>1</v>
      </c>
      <c r="D15" s="0" t="n">
        <v>1</v>
      </c>
      <c r="E15" s="0" t="n">
        <v>1</v>
      </c>
      <c r="F15" s="0" t="n">
        <v>2</v>
      </c>
      <c r="H15" s="0" t="n">
        <v>1.20988</v>
      </c>
      <c r="I15" s="0" t="n">
        <f aca="false">E15-H15</f>
        <v>-0.20988</v>
      </c>
      <c r="J15" s="0" t="n">
        <f aca="false">I15*I15</f>
        <v>0.0440496144</v>
      </c>
      <c r="K15" s="0" t="n">
        <f aca="false">0.537+0.371*(A15)</f>
        <v>1.65</v>
      </c>
      <c r="L15" s="0" t="n">
        <f aca="false">E15-K15</f>
        <v>-0.65</v>
      </c>
      <c r="M15" s="0" t="n">
        <f aca="false">L15*L15</f>
        <v>0.4225</v>
      </c>
    </row>
    <row r="16" customFormat="false" ht="14.5" hidden="false" customHeight="false" outlineLevel="0" collapsed="false">
      <c r="A16" s="0" t="n">
        <v>2</v>
      </c>
      <c r="B16" s="0" t="n">
        <v>3</v>
      </c>
      <c r="C16" s="0" t="n">
        <v>3</v>
      </c>
      <c r="D16" s="0" t="n">
        <v>1</v>
      </c>
      <c r="E16" s="0" t="n">
        <v>1</v>
      </c>
      <c r="F16" s="0" t="n">
        <v>3</v>
      </c>
      <c r="H16" s="0" t="n">
        <v>1.20988</v>
      </c>
      <c r="I16" s="0" t="n">
        <f aca="false">E16-H16</f>
        <v>-0.20988</v>
      </c>
      <c r="J16" s="0" t="n">
        <f aca="false">I16*I16</f>
        <v>0.0440496144</v>
      </c>
      <c r="K16" s="0" t="n">
        <f aca="false">0.537+0.371*(A16)</f>
        <v>1.279</v>
      </c>
      <c r="L16" s="0" t="n">
        <f aca="false">E16-K16</f>
        <v>-0.279</v>
      </c>
      <c r="M16" s="0" t="n">
        <f aca="false">L16*L16</f>
        <v>0.077841</v>
      </c>
    </row>
    <row r="17" customFormat="false" ht="14.5" hidden="false" customHeight="false" outlineLevel="0" collapsed="false">
      <c r="A17" s="0" t="n">
        <v>3</v>
      </c>
      <c r="B17" s="0" t="n">
        <v>3</v>
      </c>
      <c r="C17" s="0" t="n">
        <v>3</v>
      </c>
      <c r="D17" s="0" t="n">
        <v>2</v>
      </c>
      <c r="E17" s="0" t="n">
        <v>1</v>
      </c>
      <c r="F17" s="0" t="n">
        <v>1</v>
      </c>
      <c r="H17" s="0" t="n">
        <v>1.20988</v>
      </c>
      <c r="I17" s="0" t="n">
        <f aca="false">E17-H17</f>
        <v>-0.20988</v>
      </c>
      <c r="J17" s="0" t="n">
        <f aca="false">I17*I17</f>
        <v>0.0440496144</v>
      </c>
      <c r="K17" s="0" t="n">
        <f aca="false">0.537+0.371*(A17)</f>
        <v>1.65</v>
      </c>
      <c r="L17" s="0" t="n">
        <f aca="false">E17-K17</f>
        <v>-0.65</v>
      </c>
      <c r="M17" s="0" t="n">
        <f aca="false">L17*L17</f>
        <v>0.4225</v>
      </c>
    </row>
    <row r="18" customFormat="false" ht="14.5" hidden="false" customHeight="false" outlineLevel="0" collapsed="false">
      <c r="A18" s="0" t="n">
        <v>1</v>
      </c>
      <c r="B18" s="0" t="n">
        <v>3</v>
      </c>
      <c r="C18" s="0" t="n">
        <v>2</v>
      </c>
      <c r="D18" s="0" t="n">
        <v>0</v>
      </c>
      <c r="E18" s="0" t="n">
        <v>0</v>
      </c>
      <c r="F18" s="0" t="n">
        <v>3</v>
      </c>
      <c r="H18" s="0" t="n">
        <v>1.20988</v>
      </c>
      <c r="I18" s="0" t="n">
        <f aca="false">E18-H18</f>
        <v>-1.20988</v>
      </c>
      <c r="J18" s="0" t="n">
        <f aca="false">I18*I18</f>
        <v>1.4638096144</v>
      </c>
      <c r="K18" s="0" t="n">
        <f aca="false">0.537+0.371*(A18)</f>
        <v>0.908</v>
      </c>
      <c r="L18" s="0" t="n">
        <f aca="false">E18-K18</f>
        <v>-0.908</v>
      </c>
      <c r="M18" s="0" t="n">
        <f aca="false">L18*L18</f>
        <v>0.824464</v>
      </c>
    </row>
    <row r="19" customFormat="false" ht="14.5" hidden="false" customHeight="false" outlineLevel="0" collapsed="false">
      <c r="A19" s="0" t="n">
        <v>1</v>
      </c>
      <c r="B19" s="0" t="n">
        <v>3</v>
      </c>
      <c r="C19" s="0" t="n">
        <v>3</v>
      </c>
      <c r="D19" s="0" t="n">
        <v>1</v>
      </c>
      <c r="E19" s="0" t="n">
        <v>1</v>
      </c>
      <c r="F19" s="0" t="n">
        <v>2</v>
      </c>
      <c r="H19" s="0" t="n">
        <v>1.20988</v>
      </c>
      <c r="I19" s="0" t="n">
        <f aca="false">E19-H19</f>
        <v>-0.20988</v>
      </c>
      <c r="J19" s="0" t="n">
        <f aca="false">I19*I19</f>
        <v>0.0440496144</v>
      </c>
      <c r="K19" s="0" t="n">
        <f aca="false">0.537+0.371*(A19)</f>
        <v>0.908</v>
      </c>
      <c r="L19" s="0" t="n">
        <f aca="false">E19-K19</f>
        <v>0.092</v>
      </c>
      <c r="M19" s="0" t="n">
        <f aca="false">L19*L19</f>
        <v>0.00846399999999999</v>
      </c>
    </row>
    <row r="20" customFormat="false" ht="14.5" hidden="false" customHeight="false" outlineLevel="0" collapsed="false">
      <c r="A20" s="0" t="n">
        <v>1</v>
      </c>
      <c r="B20" s="0" t="n">
        <v>3</v>
      </c>
      <c r="C20" s="0" t="n">
        <v>3</v>
      </c>
      <c r="D20" s="0" t="n">
        <v>2</v>
      </c>
      <c r="E20" s="0" t="n">
        <v>0</v>
      </c>
      <c r="F20" s="0" t="n">
        <v>1</v>
      </c>
      <c r="H20" s="0" t="n">
        <v>1.20988</v>
      </c>
      <c r="I20" s="0" t="n">
        <f aca="false">E20-H20</f>
        <v>-1.20988</v>
      </c>
      <c r="J20" s="0" t="n">
        <f aca="false">I20*I20</f>
        <v>1.4638096144</v>
      </c>
      <c r="K20" s="0" t="n">
        <f aca="false">0.537+0.371*(A20)</f>
        <v>0.908</v>
      </c>
      <c r="L20" s="0" t="n">
        <f aca="false">E20-K20</f>
        <v>-0.908</v>
      </c>
      <c r="M20" s="0" t="n">
        <f aca="false">L20*L20</f>
        <v>0.824464</v>
      </c>
    </row>
    <row r="21" customFormat="false" ht="14.5" hidden="false" customHeight="false" outlineLevel="0" collapsed="false">
      <c r="A21" s="0" t="n">
        <v>2</v>
      </c>
      <c r="B21" s="0" t="n">
        <v>3</v>
      </c>
      <c r="C21" s="0" t="n">
        <v>2</v>
      </c>
      <c r="D21" s="0" t="n">
        <v>1</v>
      </c>
      <c r="E21" s="0" t="n">
        <v>0</v>
      </c>
      <c r="F21" s="0" t="n">
        <v>2</v>
      </c>
      <c r="H21" s="0" t="n">
        <v>1.20988</v>
      </c>
      <c r="I21" s="0" t="n">
        <f aca="false">E21-H21</f>
        <v>-1.20988</v>
      </c>
      <c r="J21" s="0" t="n">
        <f aca="false">I21*I21</f>
        <v>1.4638096144</v>
      </c>
      <c r="K21" s="0" t="n">
        <f aca="false">0.537+0.371*(A21)</f>
        <v>1.279</v>
      </c>
      <c r="L21" s="0" t="n">
        <f aca="false">E21-K21</f>
        <v>-1.279</v>
      </c>
      <c r="M21" s="0" t="n">
        <f aca="false">L21*L21</f>
        <v>1.635841</v>
      </c>
    </row>
    <row r="22" customFormat="false" ht="14.5" hidden="false" customHeight="false" outlineLevel="0" collapsed="false">
      <c r="A22" s="0" t="n">
        <v>1</v>
      </c>
      <c r="B22" s="0" t="n">
        <v>3</v>
      </c>
      <c r="C22" s="0" t="n">
        <v>2</v>
      </c>
      <c r="D22" s="0" t="n">
        <v>1</v>
      </c>
      <c r="E22" s="0" t="n">
        <v>1</v>
      </c>
      <c r="F22" s="0" t="n">
        <v>2</v>
      </c>
      <c r="H22" s="0" t="n">
        <v>1.20988</v>
      </c>
      <c r="I22" s="0" t="n">
        <f aca="false">E22-H22</f>
        <v>-0.20988</v>
      </c>
      <c r="J22" s="0" t="n">
        <f aca="false">I22*I22</f>
        <v>0.0440496144</v>
      </c>
      <c r="K22" s="0" t="n">
        <f aca="false">0.537+0.371*(A22)</f>
        <v>0.908</v>
      </c>
      <c r="L22" s="0" t="n">
        <f aca="false">E22-K22</f>
        <v>0.092</v>
      </c>
      <c r="M22" s="0" t="n">
        <f aca="false">L22*L22</f>
        <v>0.00846399999999999</v>
      </c>
    </row>
    <row r="23" customFormat="false" ht="14.5" hidden="false" customHeight="false" outlineLevel="0" collapsed="false">
      <c r="A23" s="0" t="n">
        <v>1</v>
      </c>
      <c r="B23" s="0" t="n">
        <v>3</v>
      </c>
      <c r="C23" s="0" t="n">
        <v>3</v>
      </c>
      <c r="D23" s="0" t="n">
        <v>0</v>
      </c>
      <c r="E23" s="0" t="n">
        <v>1</v>
      </c>
      <c r="F23" s="0" t="n">
        <v>3</v>
      </c>
      <c r="H23" s="0" t="n">
        <v>1.20988</v>
      </c>
      <c r="I23" s="0" t="n">
        <f aca="false">E23-H23</f>
        <v>-0.20988</v>
      </c>
      <c r="J23" s="0" t="n">
        <f aca="false">I23*I23</f>
        <v>0.0440496144</v>
      </c>
      <c r="K23" s="0" t="n">
        <f aca="false">0.537+0.371*(A23)</f>
        <v>0.908</v>
      </c>
      <c r="L23" s="0" t="n">
        <f aca="false">E23-K23</f>
        <v>0.092</v>
      </c>
      <c r="M23" s="0" t="n">
        <f aca="false">L23*L23</f>
        <v>0.00846399999999999</v>
      </c>
    </row>
    <row r="24" customFormat="false" ht="14.5" hidden="false" customHeight="false" outlineLevel="0" collapsed="false">
      <c r="A24" s="0" t="n">
        <v>2</v>
      </c>
      <c r="B24" s="0" t="n">
        <v>3</v>
      </c>
      <c r="C24" s="0" t="n">
        <v>3</v>
      </c>
      <c r="D24" s="0" t="n">
        <v>2</v>
      </c>
      <c r="E24" s="0" t="n">
        <v>1</v>
      </c>
      <c r="F24" s="0" t="n">
        <v>2</v>
      </c>
      <c r="H24" s="0" t="n">
        <v>1.20988</v>
      </c>
      <c r="I24" s="0" t="n">
        <f aca="false">E24-H24</f>
        <v>-0.20988</v>
      </c>
      <c r="J24" s="0" t="n">
        <f aca="false">I24*I24</f>
        <v>0.0440496144</v>
      </c>
      <c r="K24" s="0" t="n">
        <f aca="false">0.537+0.371*(A24)</f>
        <v>1.279</v>
      </c>
      <c r="L24" s="0" t="n">
        <f aca="false">E24-K24</f>
        <v>-0.279</v>
      </c>
      <c r="M24" s="0" t="n">
        <f aca="false">L24*L24</f>
        <v>0.077841</v>
      </c>
    </row>
    <row r="25" customFormat="false" ht="14.5" hidden="false" customHeight="false" outlineLevel="0" collapsed="false">
      <c r="A25" s="0" t="n">
        <v>2</v>
      </c>
      <c r="B25" s="0" t="n">
        <v>2</v>
      </c>
      <c r="C25" s="0" t="n">
        <v>0</v>
      </c>
      <c r="D25" s="0" t="n">
        <v>2</v>
      </c>
      <c r="E25" s="0" t="n">
        <v>0</v>
      </c>
      <c r="F25" s="0" t="n">
        <v>2</v>
      </c>
      <c r="H25" s="0" t="n">
        <v>1.20988</v>
      </c>
      <c r="I25" s="0" t="n">
        <f aca="false">E25-H25</f>
        <v>-1.20988</v>
      </c>
      <c r="J25" s="0" t="n">
        <f aca="false">I25*I25</f>
        <v>1.4638096144</v>
      </c>
      <c r="K25" s="0" t="n">
        <f aca="false">0.537+0.371*(A25)</f>
        <v>1.279</v>
      </c>
      <c r="L25" s="0" t="n">
        <f aca="false">E25-K25</f>
        <v>-1.279</v>
      </c>
      <c r="M25" s="0" t="n">
        <f aca="false">L25*L25</f>
        <v>1.635841</v>
      </c>
    </row>
    <row r="26" customFormat="false" ht="14.5" hidden="false" customHeight="false" outlineLevel="0" collapsed="false">
      <c r="A26" s="0" t="n">
        <v>1</v>
      </c>
      <c r="B26" s="0" t="n">
        <v>3</v>
      </c>
      <c r="C26" s="0" t="n">
        <v>1</v>
      </c>
      <c r="D26" s="0" t="n">
        <v>0</v>
      </c>
      <c r="E26" s="0" t="n">
        <v>0</v>
      </c>
      <c r="F26" s="0" t="n">
        <v>3</v>
      </c>
      <c r="H26" s="0" t="n">
        <v>1.20988</v>
      </c>
      <c r="I26" s="0" t="n">
        <f aca="false">E26-H26</f>
        <v>-1.20988</v>
      </c>
      <c r="J26" s="0" t="n">
        <f aca="false">I26*I26</f>
        <v>1.4638096144</v>
      </c>
      <c r="K26" s="0" t="n">
        <f aca="false">0.537+0.371*(A26)</f>
        <v>0.908</v>
      </c>
      <c r="L26" s="0" t="n">
        <f aca="false">E26-K26</f>
        <v>-0.908</v>
      </c>
      <c r="M26" s="0" t="n">
        <f aca="false">L26*L26</f>
        <v>0.824464</v>
      </c>
    </row>
    <row r="27" customFormat="false" ht="14.5" hidden="false" customHeight="false" outlineLevel="0" collapsed="false">
      <c r="A27" s="0" t="n">
        <v>2</v>
      </c>
      <c r="B27" s="0" t="n">
        <v>3</v>
      </c>
      <c r="C27" s="0" t="n">
        <v>2</v>
      </c>
      <c r="D27" s="0" t="n">
        <v>1</v>
      </c>
      <c r="E27" s="0" t="n">
        <v>1</v>
      </c>
      <c r="F27" s="0" t="n">
        <v>0</v>
      </c>
      <c r="H27" s="0" t="n">
        <v>1.20988</v>
      </c>
      <c r="I27" s="0" t="n">
        <f aca="false">E27-H27</f>
        <v>-0.20988</v>
      </c>
      <c r="J27" s="0" t="n">
        <f aca="false">I27*I27</f>
        <v>0.0440496144</v>
      </c>
      <c r="K27" s="0" t="n">
        <f aca="false">0.537+0.371*(A27)</f>
        <v>1.279</v>
      </c>
      <c r="L27" s="0" t="n">
        <f aca="false">E27-K27</f>
        <v>-0.279</v>
      </c>
      <c r="M27" s="0" t="n">
        <f aca="false">L27*L27</f>
        <v>0.077841</v>
      </c>
    </row>
    <row r="28" customFormat="false" ht="14.5" hidden="false" customHeight="false" outlineLevel="0" collapsed="false">
      <c r="A28" s="0" t="n">
        <v>1</v>
      </c>
      <c r="B28" s="0" t="n">
        <v>3</v>
      </c>
      <c r="C28" s="0" t="n">
        <v>2</v>
      </c>
      <c r="D28" s="0" t="n">
        <v>0</v>
      </c>
      <c r="E28" s="0" t="n">
        <v>0</v>
      </c>
      <c r="F28" s="0" t="n">
        <v>3</v>
      </c>
      <c r="H28" s="0" t="n">
        <v>1.20988</v>
      </c>
      <c r="I28" s="0" t="n">
        <f aca="false">E28-H28</f>
        <v>-1.20988</v>
      </c>
      <c r="J28" s="0" t="n">
        <f aca="false">I28*I28</f>
        <v>1.4638096144</v>
      </c>
      <c r="K28" s="0" t="n">
        <f aca="false">0.537+0.371*(A28)</f>
        <v>0.908</v>
      </c>
      <c r="L28" s="0" t="n">
        <f aca="false">E28-K28</f>
        <v>-0.908</v>
      </c>
      <c r="M28" s="0" t="n">
        <f aca="false">L28*L28</f>
        <v>0.824464</v>
      </c>
    </row>
    <row r="29" customFormat="false" ht="14.5" hidden="false" customHeight="false" outlineLevel="0" collapsed="false">
      <c r="A29" s="0" t="n">
        <v>2</v>
      </c>
      <c r="B29" s="0" t="n">
        <v>3</v>
      </c>
      <c r="C29" s="0" t="n">
        <v>2</v>
      </c>
      <c r="D29" s="0" t="n">
        <v>2</v>
      </c>
      <c r="E29" s="0" t="n">
        <v>0</v>
      </c>
      <c r="F29" s="0" t="n">
        <v>2</v>
      </c>
      <c r="H29" s="0" t="n">
        <v>1.20988</v>
      </c>
      <c r="I29" s="0" t="n">
        <f aca="false">E29-H29</f>
        <v>-1.20988</v>
      </c>
      <c r="J29" s="0" t="n">
        <f aca="false">I29*I29</f>
        <v>1.4638096144</v>
      </c>
      <c r="K29" s="0" t="n">
        <f aca="false">0.537+0.371*(A29)</f>
        <v>1.279</v>
      </c>
      <c r="L29" s="0" t="n">
        <f aca="false">E29-K29</f>
        <v>-1.279</v>
      </c>
      <c r="M29" s="0" t="n">
        <f aca="false">L29*L29</f>
        <v>1.635841</v>
      </c>
    </row>
    <row r="30" customFormat="false" ht="14.5" hidden="false" customHeight="false" outlineLevel="0" collapsed="false">
      <c r="A30" s="0" t="n">
        <v>3</v>
      </c>
      <c r="B30" s="0" t="n">
        <v>3</v>
      </c>
      <c r="C30" s="0" t="n">
        <v>3</v>
      </c>
      <c r="D30" s="0" t="n">
        <v>0</v>
      </c>
      <c r="E30" s="0" t="n">
        <v>1</v>
      </c>
      <c r="F30" s="0" t="n">
        <v>2</v>
      </c>
      <c r="H30" s="0" t="n">
        <v>1.20988</v>
      </c>
      <c r="I30" s="0" t="n">
        <f aca="false">E30-H30</f>
        <v>-0.20988</v>
      </c>
      <c r="J30" s="0" t="n">
        <f aca="false">I30*I30</f>
        <v>0.0440496144</v>
      </c>
      <c r="K30" s="0" t="n">
        <f aca="false">0.537+0.371*(A30)</f>
        <v>1.65</v>
      </c>
      <c r="L30" s="0" t="n">
        <f aca="false">E30-K30</f>
        <v>-0.65</v>
      </c>
      <c r="M30" s="0" t="n">
        <f aca="false">L30*L30</f>
        <v>0.4225</v>
      </c>
    </row>
    <row r="31" customFormat="false" ht="14.5" hidden="false" customHeight="false" outlineLevel="0" collapsed="false">
      <c r="A31" s="0" t="n">
        <v>2</v>
      </c>
      <c r="B31" s="0" t="n">
        <v>3</v>
      </c>
      <c r="C31" s="0" t="n">
        <v>2</v>
      </c>
      <c r="D31" s="0" t="n">
        <v>1</v>
      </c>
      <c r="E31" s="0" t="n">
        <v>1</v>
      </c>
      <c r="F31" s="0" t="n">
        <v>1</v>
      </c>
      <c r="H31" s="0" t="n">
        <v>1.20988</v>
      </c>
      <c r="I31" s="0" t="n">
        <f aca="false">E31-H31</f>
        <v>-0.20988</v>
      </c>
      <c r="J31" s="0" t="n">
        <f aca="false">I31*I31</f>
        <v>0.0440496144</v>
      </c>
      <c r="K31" s="0" t="n">
        <f aca="false">0.537+0.371*(A31)</f>
        <v>1.279</v>
      </c>
      <c r="L31" s="0" t="n">
        <f aca="false">E31-K31</f>
        <v>-0.279</v>
      </c>
      <c r="M31" s="0" t="n">
        <f aca="false">L31*L31</f>
        <v>0.077841</v>
      </c>
    </row>
    <row r="32" customFormat="false" ht="14.5" hidden="false" customHeight="false" outlineLevel="0" collapsed="false">
      <c r="A32" s="0" t="n">
        <v>2</v>
      </c>
      <c r="B32" s="0" t="n">
        <v>1</v>
      </c>
      <c r="C32" s="0" t="n">
        <v>1</v>
      </c>
      <c r="D32" s="0" t="n">
        <v>2</v>
      </c>
      <c r="E32" s="0" t="n">
        <v>2</v>
      </c>
      <c r="F32" s="0" t="n">
        <v>1</v>
      </c>
      <c r="H32" s="0" t="n">
        <v>1.20988</v>
      </c>
      <c r="I32" s="0" t="n">
        <f aca="false">E32-H32</f>
        <v>0.79012</v>
      </c>
      <c r="J32" s="0" t="n">
        <f aca="false">I32*I32</f>
        <v>0.6242896144</v>
      </c>
      <c r="K32" s="0" t="n">
        <f aca="false">0.537+0.371*(A32)</f>
        <v>1.279</v>
      </c>
      <c r="L32" s="0" t="n">
        <f aca="false">E32-K32</f>
        <v>0.721</v>
      </c>
      <c r="M32" s="0" t="n">
        <f aca="false">L32*L32</f>
        <v>0.519841</v>
      </c>
    </row>
    <row r="33" customFormat="false" ht="14.5" hidden="false" customHeight="false" outlineLevel="0" collapsed="false">
      <c r="A33" s="0" t="n">
        <v>3</v>
      </c>
      <c r="B33" s="0" t="n">
        <v>3</v>
      </c>
      <c r="C33" s="0" t="n">
        <v>1</v>
      </c>
      <c r="D33" s="0" t="n">
        <v>2</v>
      </c>
      <c r="E33" s="0" t="n">
        <v>2</v>
      </c>
      <c r="F33" s="0" t="n">
        <v>2</v>
      </c>
      <c r="H33" s="0" t="n">
        <v>1.20988</v>
      </c>
      <c r="I33" s="0" t="n">
        <f aca="false">E33-H33</f>
        <v>0.79012</v>
      </c>
      <c r="J33" s="0" t="n">
        <f aca="false">I33*I33</f>
        <v>0.6242896144</v>
      </c>
      <c r="K33" s="0" t="n">
        <f aca="false">0.537+0.371*(A33)</f>
        <v>1.65</v>
      </c>
      <c r="L33" s="0" t="n">
        <f aca="false">E33-K33</f>
        <v>0.35</v>
      </c>
      <c r="M33" s="0" t="n">
        <f aca="false">L33*L33</f>
        <v>0.1225</v>
      </c>
    </row>
    <row r="34" customFormat="false" ht="14.5" hidden="false" customHeight="false" outlineLevel="0" collapsed="false">
      <c r="A34" s="0" t="n">
        <v>1</v>
      </c>
      <c r="B34" s="0" t="n">
        <v>3</v>
      </c>
      <c r="C34" s="0" t="n">
        <v>2</v>
      </c>
      <c r="D34" s="0" t="n">
        <v>1</v>
      </c>
      <c r="E34" s="0" t="n">
        <v>2</v>
      </c>
      <c r="F34" s="0" t="n">
        <v>0</v>
      </c>
      <c r="H34" s="0" t="n">
        <v>1.20988</v>
      </c>
      <c r="I34" s="0" t="n">
        <f aca="false">E34-H34</f>
        <v>0.79012</v>
      </c>
      <c r="J34" s="0" t="n">
        <f aca="false">I34*I34</f>
        <v>0.6242896144</v>
      </c>
      <c r="K34" s="0" t="n">
        <f aca="false">0.537+0.371*(A34)</f>
        <v>0.908</v>
      </c>
      <c r="L34" s="0" t="n">
        <f aca="false">E34-K34</f>
        <v>1.092</v>
      </c>
      <c r="M34" s="0" t="n">
        <f aca="false">L34*L34</f>
        <v>1.192464</v>
      </c>
    </row>
    <row r="35" customFormat="false" ht="14.5" hidden="false" customHeight="false" outlineLevel="0" collapsed="false">
      <c r="A35" s="0" t="n">
        <v>2</v>
      </c>
      <c r="B35" s="0" t="n">
        <v>3</v>
      </c>
      <c r="C35" s="0" t="n">
        <v>2</v>
      </c>
      <c r="D35" s="0" t="n">
        <v>2</v>
      </c>
      <c r="E35" s="0" t="n">
        <v>1</v>
      </c>
      <c r="F35" s="0" t="n">
        <v>1</v>
      </c>
      <c r="H35" s="0" t="n">
        <v>1.20988</v>
      </c>
      <c r="I35" s="0" t="n">
        <f aca="false">E35-H35</f>
        <v>-0.20988</v>
      </c>
      <c r="J35" s="0" t="n">
        <f aca="false">I35*I35</f>
        <v>0.0440496144</v>
      </c>
      <c r="K35" s="0" t="n">
        <f aca="false">0.537+0.371*(A35)</f>
        <v>1.279</v>
      </c>
      <c r="L35" s="0" t="n">
        <f aca="false">E35-K35</f>
        <v>-0.279</v>
      </c>
      <c r="M35" s="0" t="n">
        <f aca="false">L35*L35</f>
        <v>0.077841</v>
      </c>
    </row>
    <row r="36" customFormat="false" ht="14.5" hidden="false" customHeight="false" outlineLevel="0" collapsed="false">
      <c r="A36" s="0" t="n">
        <v>2</v>
      </c>
      <c r="B36" s="0" t="n">
        <v>3</v>
      </c>
      <c r="C36" s="0" t="n">
        <v>3</v>
      </c>
      <c r="D36" s="0" t="n">
        <v>1</v>
      </c>
      <c r="E36" s="0" t="n">
        <v>2</v>
      </c>
      <c r="F36" s="0" t="n">
        <v>1</v>
      </c>
      <c r="H36" s="0" t="n">
        <v>1.20988</v>
      </c>
      <c r="I36" s="0" t="n">
        <f aca="false">E36-H36</f>
        <v>0.79012</v>
      </c>
      <c r="J36" s="0" t="n">
        <f aca="false">I36*I36</f>
        <v>0.6242896144</v>
      </c>
      <c r="K36" s="0" t="n">
        <f aca="false">0.537+0.371*(A36)</f>
        <v>1.279</v>
      </c>
      <c r="L36" s="0" t="n">
        <f aca="false">E36-K36</f>
        <v>0.721</v>
      </c>
      <c r="M36" s="0" t="n">
        <f aca="false">L36*L36</f>
        <v>0.519841</v>
      </c>
    </row>
    <row r="37" customFormat="false" ht="14.5" hidden="false" customHeight="false" outlineLevel="0" collapsed="false">
      <c r="A37" s="0" t="n">
        <v>2</v>
      </c>
      <c r="B37" s="0" t="n">
        <v>3</v>
      </c>
      <c r="C37" s="0" t="n">
        <v>2</v>
      </c>
      <c r="D37" s="0" t="n">
        <v>2</v>
      </c>
      <c r="E37" s="0" t="n">
        <v>1</v>
      </c>
      <c r="F37" s="0" t="n">
        <v>1</v>
      </c>
      <c r="H37" s="0" t="n">
        <v>1.20988</v>
      </c>
      <c r="I37" s="0" t="n">
        <f aca="false">E37-H37</f>
        <v>-0.20988</v>
      </c>
      <c r="J37" s="0" t="n">
        <f aca="false">I37*I37</f>
        <v>0.0440496144</v>
      </c>
      <c r="K37" s="0" t="n">
        <f aca="false">0.537+0.371*(A37)</f>
        <v>1.279</v>
      </c>
      <c r="L37" s="0" t="n">
        <f aca="false">E37-K37</f>
        <v>-0.279</v>
      </c>
      <c r="M37" s="0" t="n">
        <f aca="false">L37*L37</f>
        <v>0.077841</v>
      </c>
    </row>
    <row r="38" customFormat="false" ht="14.5" hidden="false" customHeight="false" outlineLevel="0" collapsed="false">
      <c r="A38" s="0" t="n">
        <v>2</v>
      </c>
      <c r="B38" s="0" t="n">
        <v>3</v>
      </c>
      <c r="C38" s="0" t="n">
        <v>2</v>
      </c>
      <c r="D38" s="0" t="n">
        <v>3</v>
      </c>
      <c r="E38" s="0" t="n">
        <v>3</v>
      </c>
      <c r="F38" s="0" t="n">
        <v>0</v>
      </c>
      <c r="H38" s="0" t="n">
        <v>1.20988</v>
      </c>
      <c r="I38" s="0" t="n">
        <f aca="false">E38-H38</f>
        <v>1.79012</v>
      </c>
      <c r="J38" s="0" t="n">
        <f aca="false">I38*I38</f>
        <v>3.2045296144</v>
      </c>
      <c r="K38" s="0" t="n">
        <f aca="false">0.537+0.371*(A38)</f>
        <v>1.279</v>
      </c>
      <c r="L38" s="0" t="n">
        <f aca="false">E38-K38</f>
        <v>1.721</v>
      </c>
      <c r="M38" s="0" t="n">
        <f aca="false">L38*L38</f>
        <v>2.961841</v>
      </c>
    </row>
    <row r="39" customFormat="false" ht="14.5" hidden="false" customHeight="false" outlineLevel="0" collapsed="false">
      <c r="A39" s="0" t="n">
        <v>2</v>
      </c>
      <c r="B39" s="0" t="n">
        <v>3</v>
      </c>
      <c r="C39" s="0" t="n">
        <v>2</v>
      </c>
      <c r="D39" s="0" t="n">
        <v>0</v>
      </c>
      <c r="E39" s="0" t="n">
        <v>1</v>
      </c>
      <c r="F39" s="0" t="n">
        <v>3</v>
      </c>
      <c r="H39" s="0" t="n">
        <v>1.20988</v>
      </c>
      <c r="I39" s="0" t="n">
        <f aca="false">E39-H39</f>
        <v>-0.20988</v>
      </c>
      <c r="J39" s="0" t="n">
        <f aca="false">I39*I39</f>
        <v>0.0440496144</v>
      </c>
      <c r="K39" s="0" t="n">
        <f aca="false">0.537+0.371*(A39)</f>
        <v>1.279</v>
      </c>
      <c r="L39" s="0" t="n">
        <f aca="false">E39-K39</f>
        <v>-0.279</v>
      </c>
      <c r="M39" s="0" t="n">
        <f aca="false">L39*L39</f>
        <v>0.077841</v>
      </c>
    </row>
    <row r="40" customFormat="false" ht="14.5" hidden="false" customHeight="false" outlineLevel="0" collapsed="false">
      <c r="A40" s="0" t="n">
        <v>0</v>
      </c>
      <c r="B40" s="0" t="n">
        <v>3</v>
      </c>
      <c r="C40" s="0" t="n">
        <v>3</v>
      </c>
      <c r="D40" s="0" t="n">
        <v>1</v>
      </c>
      <c r="E40" s="0" t="n">
        <v>0</v>
      </c>
      <c r="F40" s="0" t="n">
        <v>2</v>
      </c>
      <c r="H40" s="0" t="n">
        <v>1.20988</v>
      </c>
      <c r="I40" s="0" t="n">
        <f aca="false">E40-H40</f>
        <v>-1.20988</v>
      </c>
      <c r="J40" s="0" t="n">
        <f aca="false">I40*I40</f>
        <v>1.4638096144</v>
      </c>
      <c r="K40" s="0" t="n">
        <f aca="false">0.537+0.371*(A40)</f>
        <v>0.537</v>
      </c>
      <c r="L40" s="0" t="n">
        <f aca="false">E40-K40</f>
        <v>-0.537</v>
      </c>
      <c r="M40" s="0" t="n">
        <f aca="false">L40*L40</f>
        <v>0.288369</v>
      </c>
    </row>
    <row r="41" customFormat="false" ht="14.5" hidden="false" customHeight="false" outlineLevel="0" collapsed="false">
      <c r="A41" s="0" t="n">
        <v>1</v>
      </c>
      <c r="B41" s="0" t="n">
        <v>3</v>
      </c>
      <c r="C41" s="0" t="n">
        <v>3</v>
      </c>
      <c r="D41" s="0" t="n">
        <v>2</v>
      </c>
      <c r="E41" s="0" t="n">
        <v>3</v>
      </c>
      <c r="F41" s="0" t="n">
        <v>2</v>
      </c>
      <c r="H41" s="0" t="n">
        <v>1.20988</v>
      </c>
      <c r="I41" s="0" t="n">
        <f aca="false">E41-H41</f>
        <v>1.79012</v>
      </c>
      <c r="J41" s="0" t="n">
        <f aca="false">I41*I41</f>
        <v>3.2045296144</v>
      </c>
      <c r="K41" s="0" t="n">
        <f aca="false">0.537+0.371*(A41)</f>
        <v>0.908</v>
      </c>
      <c r="L41" s="0" t="n">
        <f aca="false">E41-K41</f>
        <v>2.092</v>
      </c>
      <c r="M41" s="0" t="n">
        <f aca="false">L41*L41</f>
        <v>4.376464</v>
      </c>
    </row>
    <row r="42" customFormat="false" ht="14.5" hidden="false" customHeight="false" outlineLevel="0" collapsed="false">
      <c r="A42" s="0" t="n">
        <v>2</v>
      </c>
      <c r="B42" s="0" t="n">
        <v>2</v>
      </c>
      <c r="C42" s="0" t="n">
        <v>0</v>
      </c>
      <c r="D42" s="0" t="n">
        <v>1</v>
      </c>
      <c r="E42" s="0" t="n">
        <v>2</v>
      </c>
      <c r="F42" s="0" t="n">
        <v>2</v>
      </c>
      <c r="H42" s="0" t="n">
        <v>1.20988</v>
      </c>
      <c r="I42" s="0" t="n">
        <f aca="false">E42-H42</f>
        <v>0.79012</v>
      </c>
      <c r="J42" s="0" t="n">
        <f aca="false">I42*I42</f>
        <v>0.6242896144</v>
      </c>
      <c r="K42" s="0" t="n">
        <f aca="false">0.537+0.371*(A42)</f>
        <v>1.279</v>
      </c>
      <c r="L42" s="0" t="n">
        <f aca="false">E42-K42</f>
        <v>0.721</v>
      </c>
      <c r="M42" s="0" t="n">
        <f aca="false">L42*L42</f>
        <v>0.519841</v>
      </c>
    </row>
    <row r="43" customFormat="false" ht="14.5" hidden="false" customHeight="false" outlineLevel="0" collapsed="false">
      <c r="A43" s="0" t="n">
        <v>2</v>
      </c>
      <c r="B43" s="0" t="n">
        <v>2</v>
      </c>
      <c r="C43" s="0" t="n">
        <v>2</v>
      </c>
      <c r="D43" s="0" t="n">
        <v>2</v>
      </c>
      <c r="E43" s="0" t="n">
        <v>0</v>
      </c>
      <c r="F43" s="0" t="n">
        <v>2</v>
      </c>
      <c r="H43" s="0" t="n">
        <v>1.20988</v>
      </c>
      <c r="I43" s="0" t="n">
        <f aca="false">E43-H43</f>
        <v>-1.20988</v>
      </c>
      <c r="J43" s="0" t="n">
        <f aca="false">I43*I43</f>
        <v>1.4638096144</v>
      </c>
      <c r="K43" s="0" t="n">
        <f aca="false">0.537+0.371*(A43)</f>
        <v>1.279</v>
      </c>
      <c r="L43" s="0" t="n">
        <f aca="false">E43-K43</f>
        <v>-1.279</v>
      </c>
      <c r="M43" s="0" t="n">
        <f aca="false">L43*L43</f>
        <v>1.635841</v>
      </c>
    </row>
    <row r="44" customFormat="false" ht="14.5" hidden="false" customHeight="false" outlineLevel="0" collapsed="false">
      <c r="A44" s="0" t="n">
        <v>2</v>
      </c>
      <c r="B44" s="0" t="n">
        <v>3</v>
      </c>
      <c r="C44" s="0" t="n">
        <v>2</v>
      </c>
      <c r="D44" s="0" t="n">
        <v>1</v>
      </c>
      <c r="E44" s="0" t="n">
        <v>0</v>
      </c>
      <c r="F44" s="0" t="n">
        <v>3</v>
      </c>
      <c r="H44" s="0" t="n">
        <v>1.20988</v>
      </c>
      <c r="I44" s="0" t="n">
        <f aca="false">E44-H44</f>
        <v>-1.20988</v>
      </c>
      <c r="J44" s="0" t="n">
        <f aca="false">I44*I44</f>
        <v>1.4638096144</v>
      </c>
      <c r="K44" s="0" t="n">
        <f aca="false">0.537+0.371*(A44)</f>
        <v>1.279</v>
      </c>
      <c r="L44" s="0" t="n">
        <f aca="false">E44-K44</f>
        <v>-1.279</v>
      </c>
      <c r="M44" s="0" t="n">
        <f aca="false">L44*L44</f>
        <v>1.635841</v>
      </c>
    </row>
    <row r="45" customFormat="false" ht="14.5" hidden="false" customHeight="false" outlineLevel="0" collapsed="false">
      <c r="A45" s="0" t="n">
        <v>3</v>
      </c>
      <c r="B45" s="0" t="n">
        <v>3</v>
      </c>
      <c r="C45" s="0" t="n">
        <v>2</v>
      </c>
      <c r="D45" s="0" t="n">
        <v>1</v>
      </c>
      <c r="E45" s="0" t="n">
        <v>3</v>
      </c>
      <c r="F45" s="0" t="n">
        <v>1</v>
      </c>
      <c r="H45" s="0" t="n">
        <v>1.20988</v>
      </c>
      <c r="I45" s="0" t="n">
        <f aca="false">E45-H45</f>
        <v>1.79012</v>
      </c>
      <c r="J45" s="0" t="n">
        <f aca="false">I45*I45</f>
        <v>3.2045296144</v>
      </c>
      <c r="K45" s="0" t="n">
        <f aca="false">0.537+0.371*(A45)</f>
        <v>1.65</v>
      </c>
      <c r="L45" s="0" t="n">
        <f aca="false">E45-K45</f>
        <v>1.35</v>
      </c>
      <c r="M45" s="0" t="n">
        <f aca="false">L45*L45</f>
        <v>1.8225</v>
      </c>
    </row>
    <row r="46" customFormat="false" ht="14.5" hidden="false" customHeight="false" outlineLevel="0" collapsed="false">
      <c r="A46" s="0" t="n">
        <v>1</v>
      </c>
      <c r="B46" s="0" t="n">
        <v>3</v>
      </c>
      <c r="C46" s="0" t="n">
        <v>3</v>
      </c>
      <c r="D46" s="0" t="n">
        <v>1</v>
      </c>
      <c r="E46" s="0" t="n">
        <v>1</v>
      </c>
      <c r="F46" s="0" t="n">
        <v>2</v>
      </c>
      <c r="H46" s="0" t="n">
        <v>1.20988</v>
      </c>
      <c r="I46" s="0" t="n">
        <f aca="false">E46-H46</f>
        <v>-0.20988</v>
      </c>
      <c r="J46" s="0" t="n">
        <f aca="false">I46*I46</f>
        <v>0.0440496144</v>
      </c>
      <c r="K46" s="0" t="n">
        <f aca="false">0.537+0.371*(A46)</f>
        <v>0.908</v>
      </c>
      <c r="L46" s="0" t="n">
        <f aca="false">E46-K46</f>
        <v>0.092</v>
      </c>
      <c r="M46" s="0" t="n">
        <f aca="false">L46*L46</f>
        <v>0.00846399999999999</v>
      </c>
    </row>
    <row r="47" customFormat="false" ht="14.5" hidden="false" customHeight="false" outlineLevel="0" collapsed="false">
      <c r="A47" s="0" t="n">
        <v>1</v>
      </c>
      <c r="B47" s="0" t="n">
        <v>3</v>
      </c>
      <c r="C47" s="0" t="n">
        <v>2</v>
      </c>
      <c r="D47" s="0" t="n">
        <v>0</v>
      </c>
      <c r="E47" s="0" t="n">
        <v>1</v>
      </c>
      <c r="F47" s="0" t="n">
        <v>2</v>
      </c>
      <c r="H47" s="0" t="n">
        <v>1.20988</v>
      </c>
      <c r="I47" s="0" t="n">
        <f aca="false">E47-H47</f>
        <v>-0.20988</v>
      </c>
      <c r="J47" s="0" t="n">
        <f aca="false">I47*I47</f>
        <v>0.0440496144</v>
      </c>
      <c r="K47" s="0" t="n">
        <f aca="false">0.537+0.371*(A47)</f>
        <v>0.908</v>
      </c>
      <c r="L47" s="0" t="n">
        <f aca="false">E47-K47</f>
        <v>0.092</v>
      </c>
      <c r="M47" s="0" t="n">
        <f aca="false">L47*L47</f>
        <v>0.00846399999999999</v>
      </c>
    </row>
    <row r="48" customFormat="false" ht="14.5" hidden="false" customHeight="false" outlineLevel="0" collapsed="false">
      <c r="A48" s="0" t="n">
        <v>1</v>
      </c>
      <c r="B48" s="0" t="n">
        <v>3</v>
      </c>
      <c r="C48" s="0" t="n">
        <v>1</v>
      </c>
      <c r="D48" s="0" t="n">
        <v>0</v>
      </c>
      <c r="E48" s="0" t="n">
        <v>0</v>
      </c>
      <c r="F48" s="0" t="n">
        <v>3</v>
      </c>
      <c r="H48" s="0" t="n">
        <v>1.20988</v>
      </c>
      <c r="I48" s="0" t="n">
        <f aca="false">E48-H48</f>
        <v>-1.20988</v>
      </c>
      <c r="J48" s="0" t="n">
        <f aca="false">I48*I48</f>
        <v>1.4638096144</v>
      </c>
      <c r="K48" s="0" t="n">
        <f aca="false">0.537+0.371*(A48)</f>
        <v>0.908</v>
      </c>
      <c r="L48" s="0" t="n">
        <f aca="false">E48-K48</f>
        <v>-0.908</v>
      </c>
      <c r="M48" s="0" t="n">
        <f aca="false">L48*L48</f>
        <v>0.824464</v>
      </c>
    </row>
    <row r="49" customFormat="false" ht="14.5" hidden="false" customHeight="false" outlineLevel="0" collapsed="false">
      <c r="A49" s="0" t="n">
        <v>2</v>
      </c>
      <c r="B49" s="0" t="n">
        <v>3</v>
      </c>
      <c r="C49" s="0" t="n">
        <v>2</v>
      </c>
      <c r="D49" s="0" t="n">
        <v>1</v>
      </c>
      <c r="E49" s="0" t="n">
        <v>2</v>
      </c>
      <c r="F49" s="0" t="n">
        <v>0</v>
      </c>
      <c r="H49" s="0" t="n">
        <v>1.20988</v>
      </c>
      <c r="I49" s="0" t="n">
        <f aca="false">E49-H49</f>
        <v>0.79012</v>
      </c>
      <c r="J49" s="0" t="n">
        <f aca="false">I49*I49</f>
        <v>0.6242896144</v>
      </c>
      <c r="K49" s="0" t="n">
        <f aca="false">0.537+0.371*(A49)</f>
        <v>1.279</v>
      </c>
      <c r="L49" s="0" t="n">
        <f aca="false">E49-K49</f>
        <v>0.721</v>
      </c>
      <c r="M49" s="0" t="n">
        <f aca="false">L49*L49</f>
        <v>0.519841</v>
      </c>
    </row>
    <row r="50" customFormat="false" ht="14.5" hidden="false" customHeight="false" outlineLevel="0" collapsed="false">
      <c r="A50" s="0" t="n">
        <v>3</v>
      </c>
      <c r="B50" s="0" t="n">
        <v>2</v>
      </c>
      <c r="C50" s="0" t="n">
        <v>0</v>
      </c>
      <c r="D50" s="0" t="n">
        <v>1</v>
      </c>
      <c r="E50" s="0" t="n">
        <v>2</v>
      </c>
      <c r="F50" s="0" t="n">
        <v>2</v>
      </c>
      <c r="H50" s="0" t="n">
        <v>1.20988</v>
      </c>
      <c r="I50" s="0" t="n">
        <f aca="false">E50-H50</f>
        <v>0.79012</v>
      </c>
      <c r="J50" s="0" t="n">
        <f aca="false">I50*I50</f>
        <v>0.6242896144</v>
      </c>
      <c r="K50" s="0" t="n">
        <f aca="false">0.537+0.371*(A50)</f>
        <v>1.65</v>
      </c>
      <c r="L50" s="0" t="n">
        <f aca="false">E50-K50</f>
        <v>0.35</v>
      </c>
      <c r="M50" s="0" t="n">
        <f aca="false">L50*L50</f>
        <v>0.1225</v>
      </c>
    </row>
    <row r="51" customFormat="false" ht="14.5" hidden="false" customHeight="false" outlineLevel="0" collapsed="false">
      <c r="A51" s="0" t="n">
        <v>2</v>
      </c>
      <c r="B51" s="0" t="n">
        <v>3</v>
      </c>
      <c r="C51" s="0" t="n">
        <v>1</v>
      </c>
      <c r="D51" s="0" t="n">
        <v>1</v>
      </c>
      <c r="E51" s="0" t="n">
        <v>1</v>
      </c>
      <c r="F51" s="0" t="n">
        <v>2</v>
      </c>
      <c r="H51" s="0" t="n">
        <v>1.20988</v>
      </c>
      <c r="I51" s="0" t="n">
        <f aca="false">E51-H51</f>
        <v>-0.20988</v>
      </c>
      <c r="J51" s="0" t="n">
        <f aca="false">I51*I51</f>
        <v>0.0440496144</v>
      </c>
      <c r="K51" s="0" t="n">
        <f aca="false">0.537+0.371*(A51)</f>
        <v>1.279</v>
      </c>
      <c r="L51" s="0" t="n">
        <f aca="false">E51-K51</f>
        <v>-0.279</v>
      </c>
      <c r="M51" s="0" t="n">
        <f aca="false">L51*L51</f>
        <v>0.077841</v>
      </c>
    </row>
    <row r="52" customFormat="false" ht="14.5" hidden="false" customHeight="false" outlineLevel="0" collapsed="false">
      <c r="A52" s="0" t="n">
        <v>2</v>
      </c>
      <c r="B52" s="0" t="n">
        <v>3</v>
      </c>
      <c r="C52" s="0" t="n">
        <v>3</v>
      </c>
      <c r="D52" s="0" t="n">
        <v>1</v>
      </c>
      <c r="E52" s="0" t="n">
        <v>1</v>
      </c>
      <c r="F52" s="0" t="n">
        <v>3</v>
      </c>
      <c r="H52" s="0" t="n">
        <v>1.20988</v>
      </c>
      <c r="I52" s="0" t="n">
        <f aca="false">E52-H52</f>
        <v>-0.20988</v>
      </c>
      <c r="J52" s="0" t="n">
        <f aca="false">I52*I52</f>
        <v>0.0440496144</v>
      </c>
      <c r="K52" s="0" t="n">
        <f aca="false">0.537+0.371*(A52)</f>
        <v>1.279</v>
      </c>
      <c r="L52" s="0" t="n">
        <f aca="false">E52-K52</f>
        <v>-0.279</v>
      </c>
      <c r="M52" s="0" t="n">
        <f aca="false">L52*L52</f>
        <v>0.077841</v>
      </c>
    </row>
    <row r="53" customFormat="false" ht="14.5" hidden="false" customHeight="false" outlineLevel="0" collapsed="false">
      <c r="A53" s="0" t="n">
        <v>2</v>
      </c>
      <c r="B53" s="0" t="n">
        <v>3</v>
      </c>
      <c r="C53" s="0" t="n">
        <v>2</v>
      </c>
      <c r="D53" s="0" t="n">
        <v>2</v>
      </c>
      <c r="E53" s="0" t="n">
        <v>1</v>
      </c>
      <c r="F53" s="0" t="n">
        <v>2</v>
      </c>
      <c r="H53" s="0" t="n">
        <v>1.20988</v>
      </c>
      <c r="I53" s="0" t="n">
        <f aca="false">E53-H53</f>
        <v>-0.20988</v>
      </c>
      <c r="J53" s="0" t="n">
        <f aca="false">I53*I53</f>
        <v>0.0440496144</v>
      </c>
      <c r="K53" s="0" t="n">
        <f aca="false">0.537+0.371*(A53)</f>
        <v>1.279</v>
      </c>
      <c r="L53" s="0" t="n">
        <f aca="false">E53-K53</f>
        <v>-0.279</v>
      </c>
      <c r="M53" s="0" t="n">
        <f aca="false">L53*L53</f>
        <v>0.077841</v>
      </c>
    </row>
    <row r="54" customFormat="false" ht="14.5" hidden="false" customHeight="false" outlineLevel="0" collapsed="false">
      <c r="A54" s="0" t="n">
        <v>0</v>
      </c>
      <c r="B54" s="0" t="n">
        <v>3</v>
      </c>
      <c r="C54" s="0" t="n">
        <v>3</v>
      </c>
      <c r="D54" s="0" t="n">
        <v>1</v>
      </c>
      <c r="E54" s="0" t="n">
        <v>0</v>
      </c>
      <c r="F54" s="0" t="n">
        <v>2</v>
      </c>
      <c r="H54" s="0" t="n">
        <v>1.20988</v>
      </c>
      <c r="I54" s="0" t="n">
        <f aca="false">E54-H54</f>
        <v>-1.20988</v>
      </c>
      <c r="J54" s="0" t="n">
        <f aca="false">I54*I54</f>
        <v>1.4638096144</v>
      </c>
      <c r="K54" s="0" t="n">
        <f aca="false">0.537+0.371*(A54)</f>
        <v>0.537</v>
      </c>
      <c r="L54" s="0" t="n">
        <f aca="false">E54-K54</f>
        <v>-0.537</v>
      </c>
      <c r="M54" s="0" t="n">
        <f aca="false">L54*L54</f>
        <v>0.288369</v>
      </c>
    </row>
    <row r="55" customFormat="false" ht="14.5" hidden="false" customHeight="false" outlineLevel="0" collapsed="false">
      <c r="A55" s="0" t="n">
        <v>2</v>
      </c>
      <c r="B55" s="0" t="n">
        <v>3</v>
      </c>
      <c r="C55" s="0" t="n">
        <v>3</v>
      </c>
      <c r="D55" s="0" t="n">
        <v>2</v>
      </c>
      <c r="E55" s="0" t="n">
        <v>2</v>
      </c>
      <c r="F55" s="0" t="n">
        <v>2</v>
      </c>
      <c r="H55" s="0" t="n">
        <v>1.20988</v>
      </c>
      <c r="I55" s="0" t="n">
        <f aca="false">E55-H55</f>
        <v>0.79012</v>
      </c>
      <c r="J55" s="0" t="n">
        <f aca="false">I55*I55</f>
        <v>0.6242896144</v>
      </c>
      <c r="K55" s="0" t="n">
        <f aca="false">0.537+0.371*(A55)</f>
        <v>1.279</v>
      </c>
      <c r="L55" s="0" t="n">
        <f aca="false">E55-K55</f>
        <v>0.721</v>
      </c>
      <c r="M55" s="0" t="n">
        <f aca="false">L55*L55</f>
        <v>0.519841</v>
      </c>
    </row>
    <row r="56" customFormat="false" ht="14.5" hidden="false" customHeight="false" outlineLevel="0" collapsed="false">
      <c r="A56" s="0" t="n">
        <v>2</v>
      </c>
      <c r="B56" s="0" t="n">
        <v>3</v>
      </c>
      <c r="C56" s="0" t="n">
        <v>3</v>
      </c>
      <c r="D56" s="0" t="n">
        <v>1</v>
      </c>
      <c r="E56" s="0" t="n">
        <v>0</v>
      </c>
      <c r="F56" s="0" t="n">
        <v>1</v>
      </c>
      <c r="H56" s="0" t="n">
        <v>1.20988</v>
      </c>
      <c r="I56" s="0" t="n">
        <f aca="false">E56-H56</f>
        <v>-1.20988</v>
      </c>
      <c r="J56" s="0" t="n">
        <f aca="false">I56*I56</f>
        <v>1.4638096144</v>
      </c>
      <c r="K56" s="0" t="n">
        <f aca="false">0.537+0.371*(A56)</f>
        <v>1.279</v>
      </c>
      <c r="L56" s="0" t="n">
        <f aca="false">E56-K56</f>
        <v>-1.279</v>
      </c>
      <c r="M56" s="0" t="n">
        <f aca="false">L56*L56</f>
        <v>1.635841</v>
      </c>
    </row>
    <row r="57" customFormat="false" ht="14.5" hidden="false" customHeight="false" outlineLevel="0" collapsed="false">
      <c r="A57" s="0" t="n">
        <v>2</v>
      </c>
      <c r="B57" s="0" t="n">
        <v>3</v>
      </c>
      <c r="C57" s="0" t="n">
        <v>1</v>
      </c>
      <c r="D57" s="0" t="n">
        <v>1</v>
      </c>
      <c r="E57" s="0" t="n">
        <v>2</v>
      </c>
      <c r="F57" s="0" t="n">
        <v>3</v>
      </c>
      <c r="H57" s="0" t="n">
        <v>1.20988</v>
      </c>
      <c r="I57" s="0" t="n">
        <f aca="false">E57-H57</f>
        <v>0.79012</v>
      </c>
      <c r="J57" s="0" t="n">
        <f aca="false">I57*I57</f>
        <v>0.6242896144</v>
      </c>
      <c r="K57" s="0" t="n">
        <f aca="false">0.537+0.371*(A57)</f>
        <v>1.279</v>
      </c>
      <c r="L57" s="0" t="n">
        <f aca="false">E57-K57</f>
        <v>0.721</v>
      </c>
      <c r="M57" s="0" t="n">
        <f aca="false">L57*L57</f>
        <v>0.519841</v>
      </c>
    </row>
    <row r="58" customFormat="false" ht="14.5" hidden="false" customHeight="false" outlineLevel="0" collapsed="false">
      <c r="A58" s="0" t="n">
        <v>1</v>
      </c>
      <c r="B58" s="0" t="n">
        <v>3</v>
      </c>
      <c r="C58" s="0" t="n">
        <v>3</v>
      </c>
      <c r="D58" s="0" t="n">
        <v>2</v>
      </c>
      <c r="E58" s="0" t="n">
        <v>2</v>
      </c>
      <c r="F58" s="0" t="n">
        <v>3</v>
      </c>
      <c r="H58" s="0" t="n">
        <v>1.20988</v>
      </c>
      <c r="I58" s="0" t="n">
        <f aca="false">E58-H58</f>
        <v>0.79012</v>
      </c>
      <c r="J58" s="0" t="n">
        <f aca="false">I58*I58</f>
        <v>0.6242896144</v>
      </c>
      <c r="K58" s="0" t="n">
        <f aca="false">0.537+0.371*(A58)</f>
        <v>0.908</v>
      </c>
      <c r="L58" s="0" t="n">
        <f aca="false">E58-K58</f>
        <v>1.092</v>
      </c>
      <c r="M58" s="0" t="n">
        <f aca="false">L58*L58</f>
        <v>1.192464</v>
      </c>
    </row>
    <row r="59" customFormat="false" ht="14.5" hidden="false" customHeight="false" outlineLevel="0" collapsed="false">
      <c r="A59" s="0" t="n">
        <v>2</v>
      </c>
      <c r="B59" s="0" t="n">
        <v>2</v>
      </c>
      <c r="C59" s="0" t="n">
        <v>2</v>
      </c>
      <c r="D59" s="0" t="n">
        <v>2</v>
      </c>
      <c r="E59" s="0" t="n">
        <v>2</v>
      </c>
      <c r="F59" s="0" t="n">
        <v>2</v>
      </c>
      <c r="H59" s="0" t="n">
        <v>1.20988</v>
      </c>
      <c r="I59" s="0" t="n">
        <f aca="false">E59-H59</f>
        <v>0.79012</v>
      </c>
      <c r="J59" s="0" t="n">
        <f aca="false">I59*I59</f>
        <v>0.6242896144</v>
      </c>
      <c r="K59" s="0" t="n">
        <f aca="false">0.537+0.371*(A59)</f>
        <v>1.279</v>
      </c>
      <c r="L59" s="0" t="n">
        <f aca="false">E59-K59</f>
        <v>0.721</v>
      </c>
      <c r="M59" s="0" t="n">
        <f aca="false">L59*L59</f>
        <v>0.519841</v>
      </c>
    </row>
    <row r="60" customFormat="false" ht="14.5" hidden="false" customHeight="false" outlineLevel="0" collapsed="false">
      <c r="A60" s="0" t="n">
        <v>2</v>
      </c>
      <c r="B60" s="0" t="n">
        <v>2</v>
      </c>
      <c r="C60" s="0" t="n">
        <v>2</v>
      </c>
      <c r="D60" s="0" t="n">
        <v>1</v>
      </c>
      <c r="E60" s="0" t="n">
        <v>0</v>
      </c>
      <c r="F60" s="0" t="n">
        <v>3</v>
      </c>
      <c r="H60" s="0" t="n">
        <v>1.20988</v>
      </c>
      <c r="I60" s="0" t="n">
        <f aca="false">E60-H60</f>
        <v>-1.20988</v>
      </c>
      <c r="J60" s="0" t="n">
        <f aca="false">I60*I60</f>
        <v>1.4638096144</v>
      </c>
      <c r="K60" s="0" t="n">
        <f aca="false">0.537+0.371*(A60)</f>
        <v>1.279</v>
      </c>
      <c r="L60" s="0" t="n">
        <f aca="false">E60-K60</f>
        <v>-1.279</v>
      </c>
      <c r="M60" s="0" t="n">
        <f aca="false">L60*L60</f>
        <v>1.635841</v>
      </c>
    </row>
    <row r="61" customFormat="false" ht="14.5" hidden="false" customHeight="false" outlineLevel="0" collapsed="false">
      <c r="A61" s="0" t="n">
        <v>1</v>
      </c>
      <c r="B61" s="0" t="n">
        <v>2</v>
      </c>
      <c r="C61" s="0" t="n">
        <v>2</v>
      </c>
      <c r="D61" s="0" t="n">
        <v>2</v>
      </c>
      <c r="E61" s="0" t="n">
        <v>2</v>
      </c>
      <c r="F61" s="0" t="n">
        <v>1</v>
      </c>
      <c r="H61" s="0" t="n">
        <v>1.20988</v>
      </c>
      <c r="I61" s="0" t="n">
        <f aca="false">E61-H61</f>
        <v>0.79012</v>
      </c>
      <c r="J61" s="0" t="n">
        <f aca="false">I61*I61</f>
        <v>0.6242896144</v>
      </c>
      <c r="K61" s="0" t="n">
        <f aca="false">0.537+0.371*(A61)</f>
        <v>0.908</v>
      </c>
      <c r="L61" s="0" t="n">
        <f aca="false">E61-K61</f>
        <v>1.092</v>
      </c>
      <c r="M61" s="0" t="n">
        <f aca="false">L61*L61</f>
        <v>1.192464</v>
      </c>
    </row>
    <row r="62" customFormat="false" ht="14.5" hidden="false" customHeight="false" outlineLevel="0" collapsed="false">
      <c r="A62" s="0" t="n">
        <v>2</v>
      </c>
      <c r="B62" s="0" t="n">
        <v>2</v>
      </c>
      <c r="C62" s="0" t="n">
        <v>2</v>
      </c>
      <c r="D62" s="0" t="n">
        <v>2</v>
      </c>
      <c r="E62" s="0" t="n">
        <v>2</v>
      </c>
      <c r="F62" s="0" t="n">
        <v>2</v>
      </c>
      <c r="H62" s="0" t="n">
        <v>1.20988</v>
      </c>
      <c r="I62" s="0" t="n">
        <f aca="false">E62-H62</f>
        <v>0.79012</v>
      </c>
      <c r="J62" s="0" t="n">
        <f aca="false">I62*I62</f>
        <v>0.6242896144</v>
      </c>
      <c r="K62" s="0" t="n">
        <f aca="false">0.537+0.371*(A62)</f>
        <v>1.279</v>
      </c>
      <c r="L62" s="0" t="n">
        <f aca="false">E62-K62</f>
        <v>0.721</v>
      </c>
      <c r="M62" s="0" t="n">
        <f aca="false">L62*L62</f>
        <v>0.519841</v>
      </c>
    </row>
    <row r="63" customFormat="false" ht="14.5" hidden="false" customHeight="false" outlineLevel="0" collapsed="false">
      <c r="A63" s="0" t="n">
        <v>2</v>
      </c>
      <c r="B63" s="0" t="n">
        <v>3</v>
      </c>
      <c r="C63" s="0" t="n">
        <v>3</v>
      </c>
      <c r="D63" s="0" t="n">
        <v>1</v>
      </c>
      <c r="E63" s="0" t="n">
        <v>3</v>
      </c>
      <c r="F63" s="0" t="n">
        <v>2</v>
      </c>
      <c r="H63" s="0" t="n">
        <v>1.20988</v>
      </c>
      <c r="I63" s="0" t="n">
        <f aca="false">E63-H63</f>
        <v>1.79012</v>
      </c>
      <c r="J63" s="0" t="n">
        <f aca="false">I63*I63</f>
        <v>3.2045296144</v>
      </c>
      <c r="K63" s="0" t="n">
        <f aca="false">0.537+0.371*(A63)</f>
        <v>1.279</v>
      </c>
      <c r="L63" s="0" t="n">
        <f aca="false">E63-K63</f>
        <v>1.721</v>
      </c>
      <c r="M63" s="0" t="n">
        <f aca="false">L63*L63</f>
        <v>2.961841</v>
      </c>
    </row>
    <row r="64" customFormat="false" ht="14.5" hidden="false" customHeight="false" outlineLevel="0" collapsed="false">
      <c r="A64" s="0" t="n">
        <v>3</v>
      </c>
      <c r="B64" s="0" t="n">
        <v>3</v>
      </c>
      <c r="C64" s="0" t="n">
        <v>3</v>
      </c>
      <c r="D64" s="0" t="n">
        <v>2</v>
      </c>
      <c r="E64" s="0" t="n">
        <v>3</v>
      </c>
      <c r="F64" s="0" t="n">
        <v>3</v>
      </c>
      <c r="H64" s="0" t="n">
        <v>1.20988</v>
      </c>
      <c r="I64" s="0" t="n">
        <f aca="false">E64-H64</f>
        <v>1.79012</v>
      </c>
      <c r="J64" s="0" t="n">
        <f aca="false">I64*I64</f>
        <v>3.2045296144</v>
      </c>
      <c r="K64" s="0" t="n">
        <f aca="false">0.537+0.371*(A64)</f>
        <v>1.65</v>
      </c>
      <c r="L64" s="0" t="n">
        <f aca="false">E64-K64</f>
        <v>1.35</v>
      </c>
      <c r="M64" s="0" t="n">
        <f aca="false">L64*L64</f>
        <v>1.8225</v>
      </c>
    </row>
    <row r="65" customFormat="false" ht="14.5" hidden="false" customHeight="false" outlineLevel="0" collapsed="false">
      <c r="A65" s="0" t="n">
        <v>1</v>
      </c>
      <c r="B65" s="0" t="n">
        <v>3</v>
      </c>
      <c r="C65" s="0" t="n">
        <v>3</v>
      </c>
      <c r="D65" s="0" t="n">
        <v>1</v>
      </c>
      <c r="E65" s="0" t="n">
        <v>1</v>
      </c>
      <c r="F65" s="0" t="n">
        <v>3</v>
      </c>
      <c r="H65" s="0" t="n">
        <v>1.20988</v>
      </c>
      <c r="I65" s="0" t="n">
        <f aca="false">E65-H65</f>
        <v>-0.20988</v>
      </c>
      <c r="J65" s="0" t="n">
        <f aca="false">I65*I65</f>
        <v>0.0440496144</v>
      </c>
      <c r="K65" s="0" t="n">
        <f aca="false">0.537+0.371*(A65)</f>
        <v>0.908</v>
      </c>
      <c r="L65" s="0" t="n">
        <f aca="false">E65-K65</f>
        <v>0.092</v>
      </c>
      <c r="M65" s="0" t="n">
        <f aca="false">L65*L65</f>
        <v>0.00846399999999999</v>
      </c>
    </row>
    <row r="66" customFormat="false" ht="14.5" hidden="false" customHeight="false" outlineLevel="0" collapsed="false">
      <c r="A66" s="0" t="n">
        <v>2</v>
      </c>
      <c r="B66" s="0" t="n">
        <v>3</v>
      </c>
      <c r="C66" s="0" t="n">
        <v>3</v>
      </c>
      <c r="D66" s="0" t="n">
        <v>2</v>
      </c>
      <c r="E66" s="0" t="n">
        <v>1</v>
      </c>
      <c r="F66" s="0" t="n">
        <v>1</v>
      </c>
      <c r="H66" s="0" t="n">
        <v>1.20988</v>
      </c>
      <c r="I66" s="0" t="n">
        <f aca="false">E66-H66</f>
        <v>-0.20988</v>
      </c>
      <c r="J66" s="0" t="n">
        <f aca="false">I66*I66</f>
        <v>0.0440496144</v>
      </c>
      <c r="K66" s="0" t="n">
        <f aca="false">0.537+0.371*(A66)</f>
        <v>1.279</v>
      </c>
      <c r="L66" s="0" t="n">
        <f aca="false">E66-K66</f>
        <v>-0.279</v>
      </c>
      <c r="M66" s="0" t="n">
        <f aca="false">L66*L66</f>
        <v>0.077841</v>
      </c>
    </row>
    <row r="67" customFormat="false" ht="14.5" hidden="false" customHeight="false" outlineLevel="0" collapsed="false">
      <c r="A67" s="0" t="n">
        <v>1</v>
      </c>
      <c r="B67" s="0" t="n">
        <v>3</v>
      </c>
      <c r="C67" s="0" t="n">
        <v>3</v>
      </c>
      <c r="D67" s="0" t="n">
        <v>1</v>
      </c>
      <c r="E67" s="0" t="n">
        <v>1</v>
      </c>
      <c r="F67" s="0" t="n">
        <v>2</v>
      </c>
      <c r="H67" s="0" t="n">
        <v>1.20988</v>
      </c>
      <c r="I67" s="0" t="n">
        <f aca="false">E67-H67</f>
        <v>-0.20988</v>
      </c>
      <c r="J67" s="0" t="n">
        <f aca="false">I67*I67</f>
        <v>0.0440496144</v>
      </c>
      <c r="K67" s="0" t="n">
        <f aca="false">0.537+0.371*(A67)</f>
        <v>0.908</v>
      </c>
      <c r="L67" s="0" t="n">
        <f aca="false">E67-K67</f>
        <v>0.092</v>
      </c>
      <c r="M67" s="0" t="n">
        <f aca="false">L67*L67</f>
        <v>0.00846399999999999</v>
      </c>
    </row>
    <row r="68" customFormat="false" ht="14.5" hidden="false" customHeight="false" outlineLevel="0" collapsed="false">
      <c r="A68" s="0" t="n">
        <v>3</v>
      </c>
      <c r="B68" s="0" t="n">
        <v>3</v>
      </c>
      <c r="C68" s="0" t="n">
        <v>3</v>
      </c>
      <c r="D68" s="0" t="n">
        <v>3</v>
      </c>
      <c r="E68" s="0" t="n">
        <v>1</v>
      </c>
      <c r="F68" s="0" t="n">
        <v>2</v>
      </c>
      <c r="H68" s="0" t="n">
        <v>1.20988</v>
      </c>
      <c r="I68" s="0" t="n">
        <f aca="false">E68-H68</f>
        <v>-0.20988</v>
      </c>
      <c r="J68" s="0" t="n">
        <f aca="false">I68*I68</f>
        <v>0.0440496144</v>
      </c>
      <c r="K68" s="0" t="n">
        <f aca="false">0.537+0.371*(A68)</f>
        <v>1.65</v>
      </c>
      <c r="L68" s="0" t="n">
        <f aca="false">E68-K68</f>
        <v>-0.65</v>
      </c>
      <c r="M68" s="0" t="n">
        <f aca="false">L68*L68</f>
        <v>0.4225</v>
      </c>
    </row>
    <row r="69" customFormat="false" ht="14.5" hidden="false" customHeight="false" outlineLevel="0" collapsed="false">
      <c r="A69" s="0" t="n">
        <v>1</v>
      </c>
      <c r="B69" s="0" t="n">
        <v>3</v>
      </c>
      <c r="C69" s="0" t="n">
        <v>3</v>
      </c>
      <c r="D69" s="0" t="n">
        <v>1</v>
      </c>
      <c r="E69" s="0" t="n">
        <v>1</v>
      </c>
      <c r="F69" s="0" t="n">
        <v>2</v>
      </c>
      <c r="H69" s="0" t="n">
        <v>1.20988</v>
      </c>
      <c r="I69" s="0" t="n">
        <f aca="false">E69-H69</f>
        <v>-0.20988</v>
      </c>
      <c r="J69" s="0" t="n">
        <f aca="false">I69*I69</f>
        <v>0.0440496144</v>
      </c>
      <c r="K69" s="0" t="n">
        <f aca="false">0.537+0.371*(A69)</f>
        <v>0.908</v>
      </c>
      <c r="L69" s="0" t="n">
        <f aca="false">E69-K69</f>
        <v>0.092</v>
      </c>
      <c r="M69" s="0" t="n">
        <f aca="false">L69*L69</f>
        <v>0.00846399999999999</v>
      </c>
    </row>
    <row r="70" customFormat="false" ht="14.5" hidden="false" customHeight="false" outlineLevel="0" collapsed="false">
      <c r="A70" s="0" t="n">
        <v>3</v>
      </c>
      <c r="B70" s="0" t="n">
        <v>3</v>
      </c>
      <c r="C70" s="0" t="n">
        <v>1</v>
      </c>
      <c r="D70" s="0" t="n">
        <v>1</v>
      </c>
      <c r="E70" s="0" t="n">
        <v>2</v>
      </c>
      <c r="F70" s="0" t="n">
        <v>3</v>
      </c>
      <c r="H70" s="0" t="n">
        <v>1.20988</v>
      </c>
      <c r="I70" s="0" t="n">
        <f aca="false">E70-H70</f>
        <v>0.79012</v>
      </c>
      <c r="J70" s="0" t="n">
        <f aca="false">I70*I70</f>
        <v>0.6242896144</v>
      </c>
      <c r="K70" s="0" t="n">
        <f aca="false">0.537+0.371*(A70)</f>
        <v>1.65</v>
      </c>
      <c r="L70" s="0" t="n">
        <f aca="false">E70-K70</f>
        <v>0.35</v>
      </c>
      <c r="M70" s="0" t="n">
        <f aca="false">L70*L70</f>
        <v>0.1225</v>
      </c>
    </row>
    <row r="71" customFormat="false" ht="14.5" hidden="false" customHeight="false" outlineLevel="0" collapsed="false">
      <c r="A71" s="0" t="n">
        <v>3</v>
      </c>
      <c r="B71" s="0" t="n">
        <v>3</v>
      </c>
      <c r="C71" s="0" t="n">
        <v>3</v>
      </c>
      <c r="D71" s="0" t="n">
        <v>0</v>
      </c>
      <c r="E71" s="0" t="n">
        <v>2</v>
      </c>
      <c r="F71" s="0" t="n">
        <v>3</v>
      </c>
      <c r="H71" s="0" t="n">
        <v>1.20988</v>
      </c>
      <c r="I71" s="0" t="n">
        <f aca="false">E71-H71</f>
        <v>0.79012</v>
      </c>
      <c r="J71" s="0" t="n">
        <f aca="false">I71*I71</f>
        <v>0.6242896144</v>
      </c>
      <c r="K71" s="0" t="n">
        <f aca="false">0.537+0.371*(A71)</f>
        <v>1.65</v>
      </c>
      <c r="L71" s="0" t="n">
        <f aca="false">E71-K71</f>
        <v>0.35</v>
      </c>
      <c r="M71" s="0" t="n">
        <f aca="false">L71*L71</f>
        <v>0.1225</v>
      </c>
    </row>
    <row r="72" customFormat="false" ht="14.5" hidden="false" customHeight="false" outlineLevel="0" collapsed="false">
      <c r="A72" s="0" t="n">
        <v>1</v>
      </c>
      <c r="B72" s="0" t="n">
        <v>3</v>
      </c>
      <c r="C72" s="0" t="n">
        <v>3</v>
      </c>
      <c r="D72" s="0" t="n">
        <v>1</v>
      </c>
      <c r="E72" s="0" t="n">
        <v>1</v>
      </c>
      <c r="F72" s="0" t="n">
        <v>1</v>
      </c>
      <c r="H72" s="0" t="n">
        <v>1.20988</v>
      </c>
      <c r="I72" s="0" t="n">
        <f aca="false">E72-H72</f>
        <v>-0.20988</v>
      </c>
      <c r="J72" s="0" t="n">
        <f aca="false">I72*I72</f>
        <v>0.0440496144</v>
      </c>
      <c r="K72" s="0" t="n">
        <f aca="false">0.537+0.371*(A72)</f>
        <v>0.908</v>
      </c>
      <c r="L72" s="0" t="n">
        <f aca="false">E72-K72</f>
        <v>0.092</v>
      </c>
      <c r="M72" s="0" t="n">
        <f aca="false">L72*L72</f>
        <v>0.00846399999999999</v>
      </c>
    </row>
    <row r="73" customFormat="false" ht="14.5" hidden="false" customHeight="false" outlineLevel="0" collapsed="false">
      <c r="A73" s="0" t="n">
        <v>3</v>
      </c>
      <c r="B73" s="0" t="n">
        <v>3</v>
      </c>
      <c r="C73" s="0" t="n">
        <v>3</v>
      </c>
      <c r="D73" s="0" t="n">
        <v>0</v>
      </c>
      <c r="E73" s="0" t="n">
        <v>2</v>
      </c>
      <c r="F73" s="0" t="n">
        <v>1</v>
      </c>
      <c r="H73" s="0" t="n">
        <v>1.20988</v>
      </c>
      <c r="I73" s="0" t="n">
        <f aca="false">E73-H73</f>
        <v>0.79012</v>
      </c>
      <c r="J73" s="0" t="n">
        <f aca="false">I73*I73</f>
        <v>0.6242896144</v>
      </c>
      <c r="K73" s="0" t="n">
        <f aca="false">0.537+0.371*(A73)</f>
        <v>1.65</v>
      </c>
      <c r="L73" s="0" t="n">
        <f aca="false">E73-K73</f>
        <v>0.35</v>
      </c>
      <c r="M73" s="0" t="n">
        <f aca="false">L73*L73</f>
        <v>0.1225</v>
      </c>
    </row>
    <row r="74" customFormat="false" ht="14.5" hidden="false" customHeight="false" outlineLevel="0" collapsed="false">
      <c r="A74" s="0" t="n">
        <v>1</v>
      </c>
      <c r="B74" s="0" t="n">
        <v>2</v>
      </c>
      <c r="C74" s="0" t="n">
        <v>3</v>
      </c>
      <c r="D74" s="0" t="n">
        <v>0</v>
      </c>
      <c r="E74" s="0" t="n">
        <v>1</v>
      </c>
      <c r="F74" s="0" t="n">
        <v>2</v>
      </c>
      <c r="H74" s="0" t="n">
        <v>1.20988</v>
      </c>
      <c r="I74" s="0" t="n">
        <f aca="false">E74-H74</f>
        <v>-0.20988</v>
      </c>
      <c r="J74" s="0" t="n">
        <f aca="false">I74*I74</f>
        <v>0.0440496144</v>
      </c>
      <c r="K74" s="0" t="n">
        <f aca="false">0.537+0.371*(A74)</f>
        <v>0.908</v>
      </c>
      <c r="L74" s="0" t="n">
        <f aca="false">E74-K74</f>
        <v>0.092</v>
      </c>
      <c r="M74" s="0" t="n">
        <f aca="false">L74*L74</f>
        <v>0.00846399999999999</v>
      </c>
    </row>
    <row r="75" customFormat="false" ht="14.5" hidden="false" customHeight="false" outlineLevel="0" collapsed="false">
      <c r="A75" s="0" t="n">
        <v>2</v>
      </c>
      <c r="B75" s="0" t="n">
        <v>3</v>
      </c>
      <c r="C75" s="0" t="n">
        <v>3</v>
      </c>
      <c r="D75" s="0" t="n">
        <v>2</v>
      </c>
      <c r="E75" s="0" t="n">
        <v>1</v>
      </c>
      <c r="F75" s="0" t="n">
        <v>0</v>
      </c>
      <c r="H75" s="0" t="n">
        <v>1.20988</v>
      </c>
      <c r="I75" s="0" t="n">
        <f aca="false">E75-H75</f>
        <v>-0.20988</v>
      </c>
      <c r="J75" s="0" t="n">
        <f aca="false">I75*I75</f>
        <v>0.0440496144</v>
      </c>
      <c r="K75" s="0" t="n">
        <f aca="false">0.537+0.371*(A75)</f>
        <v>1.279</v>
      </c>
      <c r="L75" s="0" t="n">
        <f aca="false">E75-K75</f>
        <v>-0.279</v>
      </c>
      <c r="M75" s="0" t="n">
        <f aca="false">L75*L75</f>
        <v>0.077841</v>
      </c>
    </row>
    <row r="76" customFormat="false" ht="14.5" hidden="false" customHeight="false" outlineLevel="0" collapsed="false">
      <c r="A76" s="0" t="n">
        <v>2</v>
      </c>
      <c r="B76" s="0" t="n">
        <v>1</v>
      </c>
      <c r="C76" s="0" t="n">
        <v>1</v>
      </c>
      <c r="D76" s="0" t="n">
        <v>0</v>
      </c>
      <c r="E76" s="0" t="n">
        <v>0</v>
      </c>
      <c r="F76" s="0" t="n">
        <v>0</v>
      </c>
      <c r="H76" s="0" t="n">
        <v>1.20988</v>
      </c>
      <c r="I76" s="0" t="n">
        <f aca="false">E76-H76</f>
        <v>-1.20988</v>
      </c>
      <c r="J76" s="0" t="n">
        <f aca="false">I76*I76</f>
        <v>1.4638096144</v>
      </c>
      <c r="K76" s="0" t="n">
        <f aca="false">0.537+0.371*(A76)</f>
        <v>1.279</v>
      </c>
      <c r="L76" s="0" t="n">
        <f aca="false">E76-K76</f>
        <v>-1.279</v>
      </c>
      <c r="M76" s="0" t="n">
        <f aca="false">L76*L76</f>
        <v>1.635841</v>
      </c>
    </row>
    <row r="77" customFormat="false" ht="14.5" hidden="false" customHeight="false" outlineLevel="0" collapsed="false">
      <c r="A77" s="0" t="n">
        <v>2</v>
      </c>
      <c r="B77" s="0" t="n">
        <v>3</v>
      </c>
      <c r="C77" s="0" t="n">
        <v>3</v>
      </c>
      <c r="D77" s="0" t="n">
        <v>0</v>
      </c>
      <c r="E77" s="0" t="n">
        <v>0</v>
      </c>
      <c r="F77" s="0" t="n">
        <v>3</v>
      </c>
      <c r="H77" s="0" t="n">
        <v>1.20988</v>
      </c>
      <c r="I77" s="0" t="n">
        <f aca="false">E77-H77</f>
        <v>-1.20988</v>
      </c>
      <c r="J77" s="0" t="n">
        <f aca="false">I77*I77</f>
        <v>1.4638096144</v>
      </c>
      <c r="K77" s="0" t="n">
        <f aca="false">0.537+0.371*(A77)</f>
        <v>1.279</v>
      </c>
      <c r="L77" s="0" t="n">
        <f aca="false">E77-K77</f>
        <v>-1.279</v>
      </c>
      <c r="M77" s="0" t="n">
        <f aca="false">L77*L77</f>
        <v>1.635841</v>
      </c>
    </row>
    <row r="78" customFormat="false" ht="14.5" hidden="false" customHeight="false" outlineLevel="0" collapsed="false">
      <c r="A78" s="0" t="n">
        <v>2</v>
      </c>
      <c r="B78" s="0" t="n">
        <v>3</v>
      </c>
      <c r="C78" s="0" t="n">
        <v>1</v>
      </c>
      <c r="D78" s="0" t="n">
        <v>2</v>
      </c>
      <c r="E78" s="0" t="n">
        <v>2</v>
      </c>
      <c r="F78" s="0" t="n">
        <v>2</v>
      </c>
      <c r="H78" s="0" t="n">
        <v>1.20988</v>
      </c>
      <c r="I78" s="0" t="n">
        <f aca="false">E78-H78</f>
        <v>0.79012</v>
      </c>
      <c r="J78" s="0" t="n">
        <f aca="false">I78*I78</f>
        <v>0.6242896144</v>
      </c>
      <c r="K78" s="0" t="n">
        <f aca="false">0.537+0.371*(A78)</f>
        <v>1.279</v>
      </c>
      <c r="L78" s="0" t="n">
        <f aca="false">E78-K78</f>
        <v>0.721</v>
      </c>
      <c r="M78" s="0" t="n">
        <f aca="false">L78*L78</f>
        <v>0.519841</v>
      </c>
    </row>
    <row r="79" customFormat="false" ht="14.5" hidden="false" customHeight="false" outlineLevel="0" collapsed="false">
      <c r="A79" s="0" t="n">
        <v>2</v>
      </c>
      <c r="B79" s="0" t="n">
        <v>2</v>
      </c>
      <c r="C79" s="0" t="n">
        <v>2</v>
      </c>
      <c r="D79" s="0" t="n">
        <v>2</v>
      </c>
      <c r="E79" s="0" t="n">
        <v>2</v>
      </c>
      <c r="F79" s="0" t="n">
        <v>2</v>
      </c>
      <c r="H79" s="0" t="n">
        <v>1.20988</v>
      </c>
      <c r="I79" s="0" t="n">
        <f aca="false">E79-H79</f>
        <v>0.79012</v>
      </c>
      <c r="J79" s="0" t="n">
        <f aca="false">I79*I79</f>
        <v>0.6242896144</v>
      </c>
      <c r="K79" s="0" t="n">
        <f aca="false">0.537+0.371*(A79)</f>
        <v>1.279</v>
      </c>
      <c r="L79" s="0" t="n">
        <f aca="false">E79-K79</f>
        <v>0.721</v>
      </c>
      <c r="M79" s="0" t="n">
        <f aca="false">L79*L79</f>
        <v>0.519841</v>
      </c>
    </row>
    <row r="80" customFormat="false" ht="14.5" hidden="false" customHeight="false" outlineLevel="0" collapsed="false">
      <c r="A80" s="0" t="n">
        <v>1</v>
      </c>
      <c r="B80" s="0" t="n">
        <v>3</v>
      </c>
      <c r="C80" s="0" t="n">
        <v>3</v>
      </c>
      <c r="D80" s="0" t="n">
        <v>0</v>
      </c>
      <c r="E80" s="0" t="n">
        <v>1</v>
      </c>
      <c r="F80" s="0" t="n">
        <v>2</v>
      </c>
      <c r="H80" s="0" t="n">
        <v>1.20988</v>
      </c>
      <c r="I80" s="0" t="n">
        <f aca="false">E80-H80</f>
        <v>-0.20988</v>
      </c>
      <c r="J80" s="0" t="n">
        <f aca="false">I80*I80</f>
        <v>0.0440496144</v>
      </c>
      <c r="K80" s="0" t="n">
        <f aca="false">0.537+0.371*(A80)</f>
        <v>0.908</v>
      </c>
      <c r="L80" s="0" t="n">
        <f aca="false">E80-K80</f>
        <v>0.092</v>
      </c>
      <c r="M80" s="0" t="n">
        <f aca="false">L80*L80</f>
        <v>0.00846399999999999</v>
      </c>
    </row>
    <row r="81" customFormat="false" ht="14.5" hidden="false" customHeight="false" outlineLevel="0" collapsed="false">
      <c r="A81" s="0" t="n">
        <v>2</v>
      </c>
      <c r="B81" s="0" t="n">
        <v>3</v>
      </c>
      <c r="C81" s="0" t="n">
        <v>3</v>
      </c>
      <c r="D81" s="0" t="n">
        <v>1</v>
      </c>
      <c r="E81" s="0" t="n">
        <v>0</v>
      </c>
      <c r="F81" s="0" t="n">
        <v>1</v>
      </c>
      <c r="H81" s="0" t="n">
        <v>1.20988</v>
      </c>
      <c r="I81" s="0" t="n">
        <f aca="false">E81-H81</f>
        <v>-1.20988</v>
      </c>
      <c r="J81" s="0" t="n">
        <f aca="false">I81*I81</f>
        <v>1.4638096144</v>
      </c>
      <c r="K81" s="0" t="n">
        <f aca="false">0.537+0.371*(A81)</f>
        <v>1.279</v>
      </c>
      <c r="L81" s="0" t="n">
        <f aca="false">E81-K81</f>
        <v>-1.279</v>
      </c>
      <c r="M81" s="0" t="n">
        <f aca="false">L81*L81</f>
        <v>1.635841</v>
      </c>
    </row>
    <row r="82" customFormat="false" ht="14.5" hidden="false" customHeight="false" outlineLevel="0" collapsed="false">
      <c r="A82" s="0" t="n">
        <v>0</v>
      </c>
      <c r="B82" s="0" t="n">
        <v>3</v>
      </c>
      <c r="C82" s="0" t="n">
        <v>0</v>
      </c>
      <c r="D82" s="0" t="n">
        <v>2</v>
      </c>
      <c r="E82" s="0" t="n">
        <v>0</v>
      </c>
      <c r="F82" s="0" t="n">
        <v>3</v>
      </c>
      <c r="H82" s="0" t="n">
        <v>1.20988</v>
      </c>
      <c r="I82" s="0" t="n">
        <f aca="false">E82-H82</f>
        <v>-1.20988</v>
      </c>
      <c r="J82" s="0" t="n">
        <f aca="false">I82*I82</f>
        <v>1.4638096144</v>
      </c>
      <c r="K82" s="0" t="n">
        <f aca="false">0.537+0.371*(A82)</f>
        <v>0.537</v>
      </c>
      <c r="L82" s="0" t="n">
        <f aca="false">E82-K82</f>
        <v>-0.537</v>
      </c>
      <c r="M82" s="0" t="n">
        <f aca="false">L82*L82</f>
        <v>0.288369</v>
      </c>
    </row>
    <row r="85" customFormat="false" ht="14.5" hidden="false" customHeight="false" outlineLevel="0" collapsed="false">
      <c r="A85" s="0" t="s">
        <v>12</v>
      </c>
      <c r="E85" s="0" t="s">
        <v>13</v>
      </c>
      <c r="F85" s="0" t="n">
        <f aca="false">SUM(J2:J82)</f>
        <v>63.4320987664</v>
      </c>
      <c r="H85" s="0" t="s">
        <v>14</v>
      </c>
    </row>
    <row r="86" customFormat="false" ht="14.5" hidden="false" customHeight="false" outlineLevel="0" collapsed="false">
      <c r="A86" s="0" t="s">
        <v>15</v>
      </c>
      <c r="E86" s="0" t="s">
        <v>16</v>
      </c>
      <c r="F86" s="0" t="n">
        <f aca="false">SUM(M2:M82)</f>
        <v>57.07026</v>
      </c>
      <c r="H86" s="0" t="s">
        <v>17</v>
      </c>
    </row>
    <row r="87" customFormat="false" ht="14.5" hidden="false" customHeight="false" outlineLevel="0" collapsed="false">
      <c r="H87" s="0" t="s">
        <v>18</v>
      </c>
    </row>
    <row r="88" customFormat="false" ht="14.5" hidden="false" customHeight="false" outlineLevel="0" collapsed="false">
      <c r="E88" s="0" t="s">
        <v>19</v>
      </c>
      <c r="F88" s="0" t="n">
        <f aca="false">(63.4321-57.0703)/(63.4321)</f>
        <v>0.100293069281957</v>
      </c>
    </row>
    <row r="90" customFormat="false" ht="14.5" hidden="false" customHeight="false" outlineLevel="0" collapsed="false">
      <c r="E90" s="0" t="s">
        <v>20</v>
      </c>
      <c r="F90" s="0" t="n">
        <v>0.10029</v>
      </c>
    </row>
    <row r="91" customFormat="false" ht="14.5" hidden="false" customHeight="false" outlineLevel="0" collapsed="false">
      <c r="E91" s="0" t="s">
        <v>21</v>
      </c>
      <c r="F91" s="0" t="n">
        <f aca="false">(1-0.10029)/79</f>
        <v>0.0113887341772152</v>
      </c>
    </row>
    <row r="93" customFormat="false" ht="14.5" hidden="false" customHeight="false" outlineLevel="0" collapsed="false">
      <c r="E93" s="0" t="s">
        <v>22</v>
      </c>
      <c r="F93" s="0" t="n">
        <f aca="false">F90/F91</f>
        <v>8.80607084505007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2014-10-24T15:13:59Z</dcterms:created>
  <dc:creator>Matthew Myers</dc:creator>
  <dc:description/>
  <dc:language>en-US</dc:language>
  <cp:lastModifiedBy>Matthew Myers</cp:lastModifiedBy>
  <dcterms:modified xsi:type="dcterms:W3CDTF">2014-10-24T15:13:59Z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